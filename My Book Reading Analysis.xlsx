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All Learnings\"/>
    </mc:Choice>
  </mc:AlternateContent>
  <xr:revisionPtr revIDLastSave="0" documentId="13_ncr:1_{FCE3C740-0572-4308-9AB0-2DEB1AEA2E2B}" xr6:coauthVersionLast="47" xr6:coauthVersionMax="47" xr10:uidLastSave="{00000000-0000-0000-0000-000000000000}"/>
  <bookViews>
    <workbookView xWindow="-120" yWindow="-120" windowWidth="20730" windowHeight="11040" activeTab="4" xr2:uid="{00000000-000D-0000-FFFF-FFFF00000000}"/>
  </bookViews>
  <sheets>
    <sheet name="README" sheetId="5" r:id="rId1"/>
    <sheet name="Insights" sheetId="6" r:id="rId2"/>
    <sheet name="Data" sheetId="1" r:id="rId3"/>
    <sheet name="Calculations" sheetId="2" r:id="rId4"/>
    <sheet name="Dashboard" sheetId="3" r:id="rId5"/>
  </sheets>
  <definedNames>
    <definedName name="total">Calculations!$A$4</definedName>
    <definedName name="total_no_of_books" localSheetId="3">Calculations!$A$4</definedName>
    <definedName name="total_number">Calculations!$A$4</definedName>
    <definedName name="total_pages">Calculations!$B$9</definedName>
  </definedNames>
  <calcPr calcId="181029" iterate="1"/>
  <pivotCaches>
    <pivotCache cacheId="18" r:id="rId6"/>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<sst xmlns="http://schemas.openxmlformats.org/spreadsheetml/2006/main" count="216" uniqueCount="121">
  <si>
    <t>Book Data</t>
  </si>
  <si>
    <t>Name Of The Book</t>
  </si>
  <si>
    <t>Dr Alban &amp; W.D Kennedy</t>
  </si>
  <si>
    <t xml:space="preserve">Iyke Nathan Uzorma </t>
  </si>
  <si>
    <t>Watcham Nee</t>
  </si>
  <si>
    <t>Robert H. Schuller</t>
  </si>
  <si>
    <t>Stuart Olyott</t>
  </si>
  <si>
    <t>Gbile Akanni</t>
  </si>
  <si>
    <t xml:space="preserve">Marriage Today </t>
  </si>
  <si>
    <t>Basilea Schlink</t>
  </si>
  <si>
    <t xml:space="preserve">Mathew Owojaiye </t>
  </si>
  <si>
    <t xml:space="preserve">Ameh Amana </t>
  </si>
  <si>
    <t>S/N</t>
  </si>
  <si>
    <t>Charles M. Sheldon</t>
  </si>
  <si>
    <t xml:space="preserve">100 Bible Lessons </t>
  </si>
  <si>
    <t>In His Steps</t>
  </si>
  <si>
    <t xml:space="preserve">The Divinity Code To Understanding Your Dreams </t>
  </si>
  <si>
    <t xml:space="preserve">Know Your Enemies Watch Your Friends </t>
  </si>
  <si>
    <t xml:space="preserve">He Leads Me </t>
  </si>
  <si>
    <t xml:space="preserve">Go Not The Way Of Balaam </t>
  </si>
  <si>
    <t xml:space="preserve">Ruled By The Spirit </t>
  </si>
  <si>
    <t xml:space="preserve">The Fire Of Delayed Answers </t>
  </si>
  <si>
    <t xml:space="preserve">Power Through Prayer </t>
  </si>
  <si>
    <t xml:space="preserve">Raising Agent Of Transformation </t>
  </si>
  <si>
    <t xml:space="preserve">The Womb Of The Morning </t>
  </si>
  <si>
    <t xml:space="preserve">Tough Times Never Last But Tough People Do </t>
  </si>
  <si>
    <t>Spiritual Authority</t>
  </si>
  <si>
    <t xml:space="preserve">Preaching - Pure And Simple </t>
  </si>
  <si>
    <t xml:space="preserve">Joseph The Dreamer- I Can't Do It But God Can </t>
  </si>
  <si>
    <t xml:space="preserve">John The Baptist, The Early Church And Us - Where Did We Go  Wrong? </t>
  </si>
  <si>
    <t>The Clarion Call</t>
  </si>
  <si>
    <t>Tokunbo Salami</t>
  </si>
  <si>
    <t xml:space="preserve">Rufus &amp; Mary Owoade </t>
  </si>
  <si>
    <t>Edward Bounds (Em Bounds)</t>
  </si>
  <si>
    <t>Number of Pages</t>
  </si>
  <si>
    <t>Personal Ratings</t>
  </si>
  <si>
    <t>Understanding How To Fight The Good Fight Of Faith</t>
  </si>
  <si>
    <t>Kenneth Hagin</t>
  </si>
  <si>
    <t>Adam F. Thompson &amp; Andrain Beale</t>
  </si>
  <si>
    <t>Book Type</t>
  </si>
  <si>
    <t>Hard Copy</t>
  </si>
  <si>
    <t>Soft Copy</t>
  </si>
  <si>
    <t xml:space="preserve">Guidepost To Revival </t>
  </si>
  <si>
    <t>Owned/Borrowed</t>
  </si>
  <si>
    <t>Borrowed</t>
  </si>
  <si>
    <t>Author</t>
  </si>
  <si>
    <t>The Spiritual Man (Vol One)</t>
  </si>
  <si>
    <t xml:space="preserve">Bob Sorge </t>
  </si>
  <si>
    <t>Tom Glover</t>
  </si>
  <si>
    <t>Month</t>
  </si>
  <si>
    <t>Year</t>
  </si>
  <si>
    <t>Changed Into His Likeness</t>
  </si>
  <si>
    <t>Owned</t>
  </si>
  <si>
    <t>Why Revival Tarries</t>
  </si>
  <si>
    <t>Leonard  Ravenhill</t>
  </si>
  <si>
    <t>Wisdom for Leaders</t>
  </si>
  <si>
    <t>Dag Heward-mills</t>
  </si>
  <si>
    <t>Timely Warning</t>
  </si>
  <si>
    <t>When the Heavens are closed</t>
  </si>
  <si>
    <t>Successful Nigerian Entrepreneurs</t>
  </si>
  <si>
    <t>Fed. Min. of Finance</t>
  </si>
  <si>
    <t>Nationality</t>
  </si>
  <si>
    <t>Nigeria</t>
  </si>
  <si>
    <t>China</t>
  </si>
  <si>
    <t>Canada</t>
  </si>
  <si>
    <t>USA</t>
  </si>
  <si>
    <t>Australia</t>
  </si>
  <si>
    <t>United Kingdom</t>
  </si>
  <si>
    <t>Germany</t>
  </si>
  <si>
    <t>Total Number of Books</t>
  </si>
  <si>
    <t>Books</t>
  </si>
  <si>
    <t>Total  Number of Pages</t>
  </si>
  <si>
    <t>Pages</t>
  </si>
  <si>
    <t>Total Number</t>
  </si>
  <si>
    <t>Distribution of Books by Type</t>
  </si>
  <si>
    <t>Ownership of Books</t>
  </si>
  <si>
    <t>Ownership</t>
  </si>
  <si>
    <t>Personal Rating</t>
  </si>
  <si>
    <t>number of books</t>
  </si>
  <si>
    <t>Most Read Author</t>
  </si>
  <si>
    <t>Months</t>
  </si>
  <si>
    <t>Number of Books</t>
  </si>
  <si>
    <t>Books by Months</t>
  </si>
  <si>
    <t>Numbers of Books</t>
  </si>
  <si>
    <t>Total Pages</t>
  </si>
  <si>
    <t>Number of Books by Months and Pages</t>
  </si>
  <si>
    <t>Insights:</t>
  </si>
  <si>
    <t>README:</t>
  </si>
  <si>
    <t>How This Workbook Is Organized</t>
  </si>
  <si>
    <t>Self-tracked personal reading log, December 2024 – December 2025 (27 books).</t>
  </si>
  <si>
    <t>Data Source</t>
  </si>
  <si>
    <t>2. What's my average book length, and how does reading volume vary month to month?</t>
  </si>
  <si>
    <t>1. How consistent is my monthly reading habit, and where are the gaps?</t>
  </si>
  <si>
    <t>Supporting Questions</t>
  </si>
  <si>
    <t>Business Question</t>
  </si>
  <si>
    <t>Project Overview</t>
  </si>
  <si>
    <t>Excel Portfolio Project — December 2024 to December 2025</t>
  </si>
  <si>
    <t>Personal Reading Habit Analysis</t>
  </si>
  <si>
    <t>All 6 Gbile Akanni books were rated 4 or 5 — no exceptions. All 3 Watchman Nee books were rated 4 or 5 as well. Unlike Insight 5, this pattern is consistent and repeats across every instance, which makes it a stronger signal: these are proven, reliable picks rather than a coincidence in a small sample.</t>
  </si>
  <si>
    <t>1. The habit is fairly consistent, but has two real gap months</t>
  </si>
  <si>
    <t>Insights</t>
  </si>
  <si>
    <t>Data</t>
  </si>
  <si>
    <t>Calculations</t>
  </si>
  <si>
    <t>Dashboard</t>
  </si>
  <si>
    <t>Key findings from the analysis</t>
  </si>
  <si>
    <t>Contains the cleaned dataset</t>
  </si>
  <si>
    <t>Contains the Pivot Analysis</t>
  </si>
  <si>
    <t>The Dashboard for the dataset</t>
  </si>
  <si>
    <t>A personal analytics project applying the same rigor as a business analysis to self-tracked reading data, 27 books logged over a 13-month period, covering title, author, page count, format, ownership, personal rating, and author nationality.</t>
  </si>
  <si>
    <t>What do my reading habits from December 2024 to December 2025 reveal about my consistency, preferences, and patterns as a reader, and what specific changes would help me read more consistently and diversely going forward?</t>
  </si>
  <si>
    <t>3. Who are my most trusted authors, repeat reads with consistently high ratings?</t>
  </si>
  <si>
    <t>business question and project overview</t>
  </si>
  <si>
    <t>Findings from the reading log.</t>
  </si>
  <si>
    <t>27 books were read across 11 of the 13 months in the tracked period (85% active-month rate). May 2025 and November 2025 had zero books logged, the two clearest breaks in an otherwise steady habit. December 2024 and January 2025 were the strongest months (3 and 4 books, 884 and 756 pages respectively), suggesting reading pace was front-loaded early in the tracked period and gradually thinned out.</t>
  </si>
  <si>
    <t>2. One author accounts for over a fifth of everything read</t>
  </si>
  <si>
    <t>Owned books averaged 3.94 vs. 3.83 for borrowed; Hard Copy averaged 3.96 vs. 4.00 for Soft Copy. Neither gap is meaningful. A common assumption is that owned books get rated higher (sunk-cost bias) or that format affects enjoyment, this data doesn't support either.</t>
  </si>
  <si>
    <t>Gbile Akanni was read 6 times: 22% of all 27 books. Watchman Nee is a distant second at 3 books.</t>
  </si>
  <si>
    <t>3. Ratings barely move with ownership or format, the data doesn't support a common assumption</t>
  </si>
  <si>
    <t>Nigeria supplies 12 of 27 authors (44%, the largest single group), but Nigerian authored books averaged a 3.83 rating versus 4.07 for all other nationalities combined, and were shorter on average (140 vs. 181 pages).</t>
  </si>
  <si>
    <t>4. Nigerian-authored books are read most often but rated slightly lower on average, worth investigating, not concluding</t>
  </si>
  <si>
    <t>5. The most-repeated authors are also the most reliably highly-rated — a genuine trusted-author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</si>
</sst>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m"/>
    <numFmt numFmtId="165" formatCode="_-* #,##0_-;\-* #,##0_-;_-* &quot;-&quot;??_-;_-@_-"/>
  </numFmts>
  <fonts count="8" x14ac:knownFonts="1">
    <font>
      <sz val="11"/>
      <color rgb="FF000000"/>
      <name val="Calibri"/>
      <family val="2"/>
    </font>
    <font>
      <sz val="11"/>
      <color theme="1"/>
      <name val="Calibri"/>
      <family val="2"/>
      <scheme val="minor"/>
    </font>
    <font>
      <sz val="18"/>
      <color rgb="FF000000"/>
      <name val="Calibri"/>
      <family val="2"/>
    </font>
    <font>
      <b/>
      <sz val="22"/>
      <color rgb="FF000000"/>
      <name val="Bradley Hand ITC"/>
      <family val="4"/>
    </font>
    <font>
      <sz val="8"/>
      <name val="Calibri"/>
      <family val="2"/>
    </font>
    <font>
      <b/>
      <sz val="16"/>
      <name val="Calibri"/>
      <family val="2"/>
      <scheme val="minor"/>
    </font>
    <font>
      <b/>
      <sz val="13"/>
      <name val="Calibri"/>
      <family val="2"/>
      <scheme val="minor"/>
    </font>
    <font>
      <sz val="13"/>
      <name val="Calibri"/>
      <family val="2"/>
      <scheme val="minor"/>
    </font>
  </fonts>
  <fills count="7">
    <fill>
      <patternFill patternType="none"/>
    </fill>
    <fill>
      <patternFill patternType="gray125"/>
    </fill>
    <fill>
      <patternFill patternType="solid">
        <fgColor rgb="FFDAE5EB"/>
        <bgColor indexed="64"/>
      </patternFill>
    </fill>
    <fill>
      <patternFill patternType="solid">
        <fgColor theme="3"/>
        <bgColor indexed="64"/>
      </patternFill>
    </fill>
    <fill>
      <patternFill patternType="solid">
        <fgColor rgb="FF34B6F5"/>
        <bgColor rgb="FFACB9CA"/>
      </patternFill>
    </fill>
    <fill>
      <patternFill patternType="solid">
        <fgColor rgb="FF34B6F5"/>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57">
    <xf numFmtId="0" fontId="0" fillId="0" borderId="0" xfId="0"/>
    <xf numFmtId="0" fontId="2" fillId="0" borderId="0" xfId="0" applyFont="1" applyFill="1" applyAlignment="1">
      <alignment horizontal="center"/>
    </xf>
    <xf numFmtId="164" fontId="0" fillId="0" borderId="0" xfId="0" applyNumberFormat="1"/>
    <xf numFmtId="0" fontId="0" fillId="2" borderId="0" xfId="0" applyFill="1"/>
    <xf numFmtId="0" fontId="0" fillId="3" borderId="0" xfId="0" applyFill="1"/>
    <xf numFmtId="164" fontId="0" fillId="3" borderId="0" xfId="0" applyNumberFormat="1" applyFill="1"/>
    <xf numFmtId="0" fontId="2" fillId="5" borderId="0" xfId="0" applyFont="1" applyFill="1" applyAlignment="1">
      <alignment horizontal="center"/>
    </xf>
    <xf numFmtId="0" fontId="0" fillId="6" borderId="2" xfId="0" applyFill="1" applyBorder="1" applyAlignment="1">
      <alignment horizontal="center"/>
    </xf>
    <xf numFmtId="0" fontId="0" fillId="0" borderId="1" xfId="0" applyNumberFormat="1" applyBorder="1"/>
    <xf numFmtId="0" fontId="0" fillId="0" borderId="0" xfId="0" applyNumberFormat="1" applyBorder="1"/>
    <xf numFmtId="165" fontId="0" fillId="0" borderId="4" xfId="0" applyNumberFormat="1" applyBorder="1"/>
    <xf numFmtId="165" fontId="0" fillId="0" borderId="8" xfId="0" applyNumberFormat="1" applyBorder="1"/>
    <xf numFmtId="165" fontId="0" fillId="0" borderId="10" xfId="0" applyNumberFormat="1" applyBorder="1"/>
    <xf numFmtId="165" fontId="0" fillId="0" borderId="2" xfId="0" applyNumberFormat="1" applyBorder="1"/>
    <xf numFmtId="165" fontId="0" fillId="6" borderId="1" xfId="0" applyNumberFormat="1" applyFill="1" applyBorder="1"/>
    <xf numFmtId="165" fontId="0" fillId="0" borderId="2" xfId="0" applyNumberFormat="1" applyBorder="1" applyAlignment="1">
      <alignment horizontal="left"/>
    </xf>
    <xf numFmtId="165" fontId="0" fillId="0" borderId="4" xfId="0" applyNumberFormat="1" applyBorder="1" applyAlignment="1">
      <alignment horizontal="left"/>
    </xf>
    <xf numFmtId="0" fontId="0" fillId="0" borderId="7" xfId="0" applyBorder="1"/>
    <xf numFmtId="0" fontId="0" fillId="0" borderId="8" xfId="0" applyBorder="1"/>
    <xf numFmtId="14" fontId="0" fillId="3" borderId="0" xfId="0" applyNumberFormat="1" applyFill="1"/>
    <xf numFmtId="14" fontId="0" fillId="0" borderId="0" xfId="0" applyNumberFormat="1"/>
    <xf numFmtId="17" fontId="0" fillId="0" borderId="0" xfId="0" applyNumberFormat="1"/>
    <xf numFmtId="165" fontId="0" fillId="0" borderId="1" xfId="0" applyNumberFormat="1" applyBorder="1"/>
    <xf numFmtId="165" fontId="0" fillId="0" borderId="11" xfId="0" pivotButton="1" applyNumberFormat="1" applyBorder="1"/>
    <xf numFmtId="165" fontId="0" fillId="0" borderId="12" xfId="0" applyNumberFormat="1" applyBorder="1" applyAlignment="1">
      <alignment horizontal="left"/>
    </xf>
    <xf numFmtId="165" fontId="0" fillId="0" borderId="3" xfId="0" applyNumberFormat="1" applyBorder="1"/>
    <xf numFmtId="165" fontId="0" fillId="0" borderId="3" xfId="0" applyNumberFormat="1" applyBorder="1" applyAlignment="1">
      <alignment horizontal="left"/>
    </xf>
    <xf numFmtId="165" fontId="0" fillId="0" borderId="1" xfId="0" applyNumberFormat="1" applyBorder="1" applyAlignment="1">
      <alignment horizontal="left"/>
    </xf>
    <xf numFmtId="0" fontId="0" fillId="6" borderId="1" xfId="0" applyFill="1" applyBorder="1"/>
    <xf numFmtId="17" fontId="0" fillId="0" borderId="7" xfId="0" applyNumberFormat="1" applyBorder="1" applyAlignment="1">
      <alignment horizontal="left"/>
    </xf>
    <xf numFmtId="17" fontId="0" fillId="0" borderId="9" xfId="0" applyNumberFormat="1" applyBorder="1" applyAlignment="1">
      <alignment horizontal="left"/>
    </xf>
    <xf numFmtId="0" fontId="0" fillId="0" borderId="0" xfId="0" applyFill="1"/>
    <xf numFmtId="0" fontId="3" fillId="4" borderId="0" xfId="0" applyFont="1" applyFill="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165" fontId="0" fillId="6" borderId="5" xfId="0" applyNumberFormat="1" applyFill="1" applyBorder="1" applyAlignment="1">
      <alignment horizontal="center"/>
    </xf>
    <xf numFmtId="165" fontId="0" fillId="6" borderId="6" xfId="0" applyNumberFormat="1" applyFill="1" applyBorder="1" applyAlignment="1">
      <alignment horizontal="center"/>
    </xf>
    <xf numFmtId="165" fontId="0" fillId="6" borderId="5" xfId="0" applyNumberFormat="1" applyFill="1" applyBorder="1"/>
    <xf numFmtId="165" fontId="0" fillId="0" borderId="9" xfId="0" applyNumberFormat="1" applyBorder="1"/>
    <xf numFmtId="165" fontId="0" fillId="6" borderId="11" xfId="0" applyNumberFormat="1" applyFill="1" applyBorder="1"/>
    <xf numFmtId="165" fontId="0" fillId="6" borderId="12" xfId="0" applyNumberFormat="1" applyFill="1" applyBorder="1"/>
    <xf numFmtId="165" fontId="0" fillId="0" borderId="5" xfId="0" applyNumberFormat="1" applyBorder="1"/>
    <xf numFmtId="165" fontId="0" fillId="0" borderId="6" xfId="0" applyNumberFormat="1" applyBorder="1"/>
    <xf numFmtId="165" fontId="0" fillId="0" borderId="7" xfId="0" applyNumberFormat="1" applyBorder="1"/>
    <xf numFmtId="17" fontId="0" fillId="6" borderId="1" xfId="0" applyNumberFormat="1" applyFill="1" applyBorder="1"/>
    <xf numFmtId="0" fontId="0" fillId="6" borderId="11" xfId="0" applyFill="1" applyBorder="1" applyAlignment="1">
      <alignment horizontal="center"/>
    </xf>
    <xf numFmtId="0" fontId="0" fillId="6" borderId="13" xfId="0" applyFill="1" applyBorder="1" applyAlignment="1">
      <alignment horizontal="center"/>
    </xf>
    <xf numFmtId="0" fontId="0" fillId="6" borderId="12" xfId="0" applyFill="1" applyBorder="1" applyAlignment="1">
      <alignment horizontal="center"/>
    </xf>
    <xf numFmtId="17" fontId="0" fillId="0" borderId="2" xfId="0" applyNumberFormat="1" applyBorder="1" applyAlignment="1">
      <alignment horizontal="left"/>
    </xf>
    <xf numFmtId="17" fontId="0" fillId="0" borderId="3" xfId="0" applyNumberFormat="1" applyBorder="1" applyAlignment="1">
      <alignment horizontal="left"/>
    </xf>
    <xf numFmtId="17" fontId="0" fillId="0" borderId="4" xfId="0" applyNumberFormat="1" applyBorder="1" applyAlignment="1">
      <alignment horizontal="left"/>
    </xf>
    <xf numFmtId="0" fontId="5" fillId="0" borderId="0" xfId="1" applyFont="1"/>
    <xf numFmtId="0" fontId="6" fillId="0" borderId="0" xfId="1" applyFont="1"/>
    <xf numFmtId="0" fontId="7" fillId="0" borderId="0" xfId="1" applyFont="1"/>
    <xf numFmtId="0" fontId="7" fillId="0" borderId="0" xfId="1" applyFont="1" applyAlignment="1">
      <alignment wrapText="1"/>
    </xf>
    <xf numFmtId="0" fontId="7" fillId="0" borderId="0" xfId="1" applyFont="1" applyAlignment="1">
      <alignment vertical="top" wrapText="1"/>
    </xf>
    <xf numFmtId="0" fontId="6" fillId="0" borderId="0" xfId="1" applyFont="1" applyAlignment="1">
      <alignment wrapText="1"/>
    </xf>
  </cellXfs>
  <cellStyles count="2">
    <cellStyle name="Normal" xfId="0" builtinId="0" customBuiltin="1"/>
    <cellStyle name="Normal 2" xfId="1" xr:uid="{6335B6A6-1C02-41F9-8B29-AA9D01129518}"/>
  </cellStyles>
  <dxfs count="79">
    <dxf>
      <fill>
        <patternFill patternType="solid">
          <bgColor theme="5" tint="0.59999389629810485"/>
        </patternFill>
      </fill>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2" formatCode="mmm\-yy"/>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59999389629810485"/>
        </patternFill>
      </fill>
    </dxf>
    <dxf>
      <numFmt numFmtId="165" formatCode="_-* #,##0_-;\-* #,##0_-;_-* &quot;-&quot;??_-;_-@_-"/>
    </dxf>
    <dxf>
      <numFmt numFmtId="165" formatCode="_-* #,##0_-;\-* #,##0_-;_-* &quot;-&quot;??_-;_-@_-"/>
    </dxf>
    <dxf>
      <numFmt numFmtId="165" formatCode="_-* #,##0_-;\-* #,##0_-;_-* &quot;-&quot;??_-;_-@_-"/>
    </dxf>
    <dxf>
      <numFmt numFmtId="22" formatCode="mmm\-yy"/>
    </dxf>
    <dxf>
      <numFmt numFmtId="22" formatCode="mmm\-yy"/>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 #,##0_-;_-* &quot;-&quot;??_-;_-@_-"/>
    </dxf>
    <dxf>
      <numFmt numFmtId="165" formatCode="_-* #,##0_-;\-* #,##0_-;_-* &quot;-&quot;??_-;_-@_-"/>
    </dxf>
    <dxf>
      <numFmt numFmtId="165" formatCode="_-* #,##0_-;\-* #,##0_-;_-* &quot;-&quot;??_-;_-@_-"/>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9" formatCode="dd/mm/yyyy"/>
    </dxf>
    <dxf>
      <numFmt numFmtId="164" formatCode="mmmm"/>
    </dxf>
    <dxf>
      <fill>
        <patternFill patternType="solid">
          <fgColor indexed="64"/>
          <bgColor theme="3"/>
        </patternFill>
      </fill>
    </dxf>
    <dxf>
      <fill>
        <patternFill patternType="darkGray">
          <fgColor rgb="FF34B6F5"/>
          <bgColor rgb="FF4472C4"/>
        </patternFill>
      </fill>
    </dxf>
  </dxfs>
  <tableStyles count="1" defaultTableStyle="TableStyleMedium2" defaultPivotStyle="PivotStyleLight16">
    <tableStyle name="Slicer Style 1" pivot="0" table="0" count="1" xr9:uid="{189337EA-9FFD-4BFE-9F2D-6C15A1A93174}">
      <tableStyleElement type="wholeTable" dxfId="78"/>
    </tableStyle>
  </tableStyles>
  <colors>
    <mruColors>
      <color rgb="FF5F5F5F"/>
      <color rgb="FF34B6F5"/>
      <color rgb="FF1C1C1C"/>
      <color rgb="FFD6D6DD"/>
      <color rgb="FF4472C4"/>
      <color rgb="FFFFFFFF"/>
      <color rgb="FFD4D4DB"/>
      <color rgb="FFFCFCFC"/>
      <color rgb="FFFCFCFD"/>
      <color rgb="FFF3F5F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Book Reading Analysis.xlsx]Calculations!PivotTable5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1.3889071157771946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6974074074074075"/>
                  <c:h val="7.4328885972586745E-2"/>
                </c:manualLayout>
              </c15:layout>
            </c:ext>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3889071157771946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6974074074074075"/>
                  <c:h val="7.4328885972586745E-2"/>
                </c:manualLayout>
              </c15:layout>
            </c:ext>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5F5F5F">
                      <a:alpha val="70000"/>
                    </a:srgbClr>
                  </a:solidFill>
                  <a:latin typeface="+mj-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34B6F5">
              <a:alpha val="49000"/>
            </a:srgbClr>
          </a:solidFill>
          <a:ln>
            <a:solidFill>
              <a:schemeClr val="accent1"/>
            </a:solidFill>
          </a:ln>
          <a:effectLst/>
        </c:spPr>
        <c:dLbl>
          <c:idx val="0"/>
          <c:layout>
            <c:manualLayout>
              <c:x val="-9.5879733269274223E-2"/>
              <c:y val="-7.9802632267577016E-1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rgbClr val="5F5F5F">
                        <a:alpha val="70000"/>
                      </a:srgbClr>
                    </a:solidFill>
                    <a:latin typeface="+mj-lt"/>
                    <a:ea typeface="+mn-ea"/>
                    <a:cs typeface="+mn-cs"/>
                  </a:defRPr>
                </a:pPr>
                <a:fld id="{A47F8F37-A2F8-4242-8408-1F4C922F99CE}" type="VALUE">
                  <a:rPr lang="en-US" sz="1400">
                    <a:solidFill>
                      <a:srgbClr val="5F5F5F">
                        <a:alpha val="70000"/>
                      </a:srgbClr>
                    </a:solidFill>
                    <a:latin typeface="+mj-lt"/>
                  </a:rPr>
                  <a:pPr>
                    <a:defRPr>
                      <a:solidFill>
                        <a:srgbClr val="5F5F5F">
                          <a:alpha val="70000"/>
                        </a:srgbClr>
                      </a:solidFill>
                      <a:latin typeface="+mj-lt"/>
                    </a:defRPr>
                  </a:pPr>
                  <a:t>[VALUE]</a:t>
                </a:fld>
                <a:endParaRPr lang="en-NG"/>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5F5F5F">
                      <a:alpha val="70000"/>
                    </a:srgbClr>
                  </a:solidFill>
                  <a:latin typeface="+mj-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7.6095414552811491E-2"/>
                  <c:h val="0.14885111353393771"/>
                </c:manualLayout>
              </c15:layout>
              <c15:dlblFieldTable/>
              <c15:showDataLabelsRange val="0"/>
            </c:ext>
          </c:extLst>
        </c:dLbl>
      </c:pivotFmt>
    </c:pivotFmts>
    <c:plotArea>
      <c:layout>
        <c:manualLayout>
          <c:layoutTarget val="inner"/>
          <c:xMode val="edge"/>
          <c:yMode val="edge"/>
          <c:x val="5.359185170607611E-2"/>
          <c:y val="9.2359658711405057E-2"/>
          <c:w val="0.88522136788687777"/>
          <c:h val="0.81330823140979691"/>
        </c:manualLayout>
      </c:layout>
      <c:ofPieChart>
        <c:ofPieType val="bar"/>
        <c:varyColors val="1"/>
        <c:ser>
          <c:idx val="0"/>
          <c:order val="0"/>
          <c:tx>
            <c:strRef>
              <c:f>Calculations!$B$30</c:f>
              <c:strCache>
                <c:ptCount val="1"/>
                <c:pt idx="0">
                  <c:v>Total</c:v>
                </c:pt>
              </c:strCache>
            </c:strRef>
          </c:tx>
          <c:dPt>
            <c:idx val="0"/>
            <c:bubble3D val="0"/>
            <c:spPr>
              <a:solidFill>
                <a:srgbClr val="34B6F5">
                  <a:alpha val="49000"/>
                </a:srgbClr>
              </a:solidFill>
              <a:ln>
                <a:solidFill>
                  <a:schemeClr val="accent1"/>
                </a:solidFill>
              </a:ln>
              <a:effectLst/>
            </c:spPr>
            <c:extLst>
              <c:ext xmlns:c16="http://schemas.microsoft.com/office/drawing/2014/chart" uri="{C3380CC4-5D6E-409C-BE32-E72D297353CC}">
                <c16:uniqueId val="{00000001-2B36-4AF3-8ABC-D2D980A30F78}"/>
              </c:ext>
            </c:extLst>
          </c:dPt>
          <c:dPt>
            <c:idx val="1"/>
            <c:bubble3D val="0"/>
            <c:spPr>
              <a:solidFill>
                <a:schemeClr val="accent2"/>
              </a:solidFill>
              <a:ln>
                <a:noFill/>
              </a:ln>
              <a:effectLst/>
            </c:spPr>
            <c:extLst>
              <c:ext xmlns:c16="http://schemas.microsoft.com/office/drawing/2014/chart" uri="{C3380CC4-5D6E-409C-BE32-E72D297353CC}">
                <c16:uniqueId val="{00000003-2B36-4AF3-8ABC-D2D980A30F78}"/>
              </c:ext>
            </c:extLst>
          </c:dPt>
          <c:dLbls>
            <c:dLbl>
              <c:idx val="0"/>
              <c:layout>
                <c:manualLayout>
                  <c:x val="-9.5879733269274223E-2"/>
                  <c:y val="-7.9802632267577016E-1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rgbClr val="5F5F5F">
                            <a:alpha val="70000"/>
                          </a:srgbClr>
                        </a:solidFill>
                        <a:latin typeface="+mj-lt"/>
                        <a:ea typeface="+mn-ea"/>
                        <a:cs typeface="+mn-cs"/>
                      </a:defRPr>
                    </a:pPr>
                    <a:fld id="{A47F8F37-A2F8-4242-8408-1F4C922F99CE}" type="VALUE">
                      <a:rPr lang="en-US" sz="1400">
                        <a:solidFill>
                          <a:srgbClr val="5F5F5F">
                            <a:alpha val="70000"/>
                          </a:srgbClr>
                        </a:solidFill>
                        <a:latin typeface="+mj-lt"/>
                      </a:rPr>
                      <a:pPr>
                        <a:defRPr>
                          <a:solidFill>
                            <a:srgbClr val="5F5F5F">
                              <a:alpha val="70000"/>
                            </a:srgbClr>
                          </a:solidFill>
                          <a:latin typeface="+mj-lt"/>
                        </a:defRPr>
                      </a:pPr>
                      <a:t>[VALUE]</a:t>
                    </a:fld>
                    <a:endParaRPr lang="en-NG"/>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5F5F5F">
                          <a:alpha val="70000"/>
                        </a:srgbClr>
                      </a:solidFill>
                      <a:latin typeface="+mj-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7.6095414552811491E-2"/>
                      <c:h val="0.14885111353393771"/>
                    </c:manualLayout>
                  </c15:layout>
                  <c15:dlblFieldTable/>
                  <c15:showDataLabelsRange val="0"/>
                </c:ext>
                <c:ext xmlns:c16="http://schemas.microsoft.com/office/drawing/2014/chart" uri="{C3380CC4-5D6E-409C-BE32-E72D297353CC}">
                  <c16:uniqueId val="{00000001-2B36-4AF3-8ABC-D2D980A30F78}"/>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5F5F5F">
                        <a:alpha val="70000"/>
                      </a:srgbClr>
                    </a:solidFill>
                    <a:latin typeface="+mj-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s>
          <c:cat>
            <c:strRef>
              <c:f>Calculations!$A$31</c:f>
              <c:strCache>
                <c:ptCount val="1"/>
                <c:pt idx="0">
                  <c:v>Gbile Akanni</c:v>
                </c:pt>
              </c:strCache>
            </c:strRef>
          </c:cat>
          <c:val>
            <c:numRef>
              <c:f>Calculations!$B$31</c:f>
              <c:numCache>
                <c:formatCode>_-* #,##0_-;\-* #,##0_-;_-* "-"??_-;_-@_-</c:formatCode>
                <c:ptCount val="1"/>
                <c:pt idx="0">
                  <c:v>6</c:v>
                </c:pt>
              </c:numCache>
            </c:numRef>
          </c:val>
          <c:extLst>
            <c:ext xmlns:c16="http://schemas.microsoft.com/office/drawing/2014/chart" uri="{C3380CC4-5D6E-409C-BE32-E72D297353CC}">
              <c16:uniqueId val="{00000005-A2AD-4F1E-B502-E5563F163697}"/>
            </c:ext>
          </c:extLst>
        </c:ser>
        <c:dLbls>
          <c:showLegendKey val="0"/>
          <c:showVal val="0"/>
          <c:showCatName val="0"/>
          <c:showSerName val="0"/>
          <c:showPercent val="0"/>
          <c:showBubbleSize val="0"/>
          <c:showLeaderLines val="1"/>
        </c:dLbls>
        <c:gapWidth val="444"/>
        <c:secondPieSize val="75"/>
        <c:serLines>
          <c:spPr>
            <a:ln w="9525">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Book Reading Analysis.xlsx]Calculations!PivotTable3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B6F5"/>
          </a:solidFill>
          <a:ln>
            <a:noFill/>
          </a:ln>
          <a:effectLst>
            <a:glow>
              <a:schemeClr val="accent1"/>
            </a:glow>
            <a:softEdge rad="0"/>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FFFFFF">
                      <a:alpha val="98000"/>
                    </a:srgbClr>
                  </a:solidFill>
                  <a:latin typeface="+mj-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B6F5">
              <a:alpha val="48000"/>
            </a:srgbClr>
          </a:solidFill>
          <a:ln>
            <a:noFill/>
          </a:ln>
          <a:effectLst>
            <a:glow>
              <a:schemeClr val="accent1"/>
            </a:glow>
            <a:softEdge rad="0"/>
          </a:effectLst>
        </c:spPr>
        <c:dLbl>
          <c:idx val="0"/>
          <c:layout>
            <c:manualLayout>
              <c:x val="0"/>
              <c:y val="-9.965279107000249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5F5F5F">
                      <a:alpha val="98000"/>
                    </a:srgbClr>
                  </a:solidFill>
                  <a:latin typeface="+mj-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4B6F5"/>
          </a:solidFill>
          <a:ln>
            <a:noFill/>
          </a:ln>
          <a:effectLst>
            <a:glow>
              <a:schemeClr val="accent1"/>
            </a:glow>
            <a:softEdge rad="0"/>
          </a:effectLst>
        </c:spPr>
        <c:dLbl>
          <c:idx val="0"/>
          <c:layout>
            <c:manualLayout>
              <c:x val="0"/>
              <c:y val="-0.37739004395043108"/>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5F5F5F">
                      <a:alpha val="98000"/>
                    </a:srgbClr>
                  </a:solidFill>
                  <a:latin typeface="+mj-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3648217729631"/>
          <c:y val="5.3049879905486593E-3"/>
          <c:w val="0.81469285373668476"/>
          <c:h val="0.79212809318095445"/>
        </c:manualLayout>
      </c:layout>
      <c:barChart>
        <c:barDir val="col"/>
        <c:grouping val="stacked"/>
        <c:varyColors val="0"/>
        <c:ser>
          <c:idx val="0"/>
          <c:order val="0"/>
          <c:tx>
            <c:strRef>
              <c:f>Calculations!$B$13</c:f>
              <c:strCache>
                <c:ptCount val="1"/>
                <c:pt idx="0">
                  <c:v>Total</c:v>
                </c:pt>
              </c:strCache>
            </c:strRef>
          </c:tx>
          <c:spPr>
            <a:solidFill>
              <a:srgbClr val="34B6F5"/>
            </a:solidFill>
            <a:ln>
              <a:noFill/>
            </a:ln>
            <a:effectLst>
              <a:glow>
                <a:schemeClr val="accent1"/>
              </a:glow>
              <a:softEdge rad="0"/>
            </a:effectLst>
          </c:spPr>
          <c:invertIfNegative val="0"/>
          <c:dPt>
            <c:idx val="0"/>
            <c:invertIfNegative val="0"/>
            <c:bubble3D val="0"/>
            <c:spPr>
              <a:solidFill>
                <a:srgbClr val="34B6F5"/>
              </a:solidFill>
              <a:ln>
                <a:noFill/>
              </a:ln>
              <a:effectLst>
                <a:glow>
                  <a:schemeClr val="accent1"/>
                </a:glow>
                <a:softEdge rad="0"/>
              </a:effectLst>
            </c:spPr>
            <c:extLst>
              <c:ext xmlns:c16="http://schemas.microsoft.com/office/drawing/2014/chart" uri="{C3380CC4-5D6E-409C-BE32-E72D297353CC}">
                <c16:uniqueId val="{00000001-5C80-4A75-81AE-DC67EBC5DDBC}"/>
              </c:ext>
            </c:extLst>
          </c:dPt>
          <c:dPt>
            <c:idx val="1"/>
            <c:invertIfNegative val="0"/>
            <c:bubble3D val="0"/>
            <c:spPr>
              <a:solidFill>
                <a:srgbClr val="34B6F5">
                  <a:alpha val="48000"/>
                </a:srgbClr>
              </a:solidFill>
              <a:ln>
                <a:noFill/>
              </a:ln>
              <a:effectLst>
                <a:glow>
                  <a:schemeClr val="accent1"/>
                </a:glow>
                <a:softEdge rad="0"/>
              </a:effectLst>
            </c:spPr>
            <c:extLst>
              <c:ext xmlns:c16="http://schemas.microsoft.com/office/drawing/2014/chart" uri="{C3380CC4-5D6E-409C-BE32-E72D297353CC}">
                <c16:uniqueId val="{00000003-5C80-4A75-81AE-DC67EBC5DDBC}"/>
              </c:ext>
            </c:extLst>
          </c:dPt>
          <c:dLbls>
            <c:dLbl>
              <c:idx val="0"/>
              <c:layout>
                <c:manualLayout>
                  <c:x val="0"/>
                  <c:y val="-0.37739004395043108"/>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5F5F5F">
                          <a:alpha val="98000"/>
                        </a:srgbClr>
                      </a:solidFill>
                      <a:latin typeface="+mj-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80-4A75-81AE-DC67EBC5DDBC}"/>
                </c:ext>
              </c:extLst>
            </c:dLbl>
            <c:dLbl>
              <c:idx val="1"/>
              <c:layout>
                <c:manualLayout>
                  <c:x val="0"/>
                  <c:y val="-9.965279107000249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5F5F5F">
                          <a:alpha val="98000"/>
                        </a:srgbClr>
                      </a:solidFill>
                      <a:latin typeface="+mj-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80-4A75-81AE-DC67EBC5DDBC}"/>
                </c:ext>
              </c:extLst>
            </c:dLbl>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rgbClr val="FFFFFF">
                        <a:alpha val="98000"/>
                      </a:srgbClr>
                    </a:solidFill>
                    <a:latin typeface="+mj-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Calculations!$A$14:$A$15</c:f>
              <c:strCache>
                <c:ptCount val="2"/>
                <c:pt idx="0">
                  <c:v>Hard Copy</c:v>
                </c:pt>
                <c:pt idx="1">
                  <c:v>Soft Copy</c:v>
                </c:pt>
              </c:strCache>
            </c:strRef>
          </c:cat>
          <c:val>
            <c:numRef>
              <c:f>Calculations!$B$14:$B$15</c:f>
              <c:numCache>
                <c:formatCode>_-* #,##0_-;\-* #,##0_-;_-* "-"??_-;_-@_-</c:formatCode>
                <c:ptCount val="2"/>
                <c:pt idx="0">
                  <c:v>24</c:v>
                </c:pt>
                <c:pt idx="1">
                  <c:v>3</c:v>
                </c:pt>
              </c:numCache>
            </c:numRef>
          </c:val>
          <c:extLst>
            <c:ext xmlns:c16="http://schemas.microsoft.com/office/drawing/2014/chart" uri="{C3380CC4-5D6E-409C-BE32-E72D297353CC}">
              <c16:uniqueId val="{00000005-A37F-491C-9664-EB3C863BA359}"/>
            </c:ext>
          </c:extLst>
        </c:ser>
        <c:dLbls>
          <c:dLblPos val="ctr"/>
          <c:showLegendKey val="0"/>
          <c:showVal val="1"/>
          <c:showCatName val="0"/>
          <c:showSerName val="0"/>
          <c:showPercent val="0"/>
          <c:showBubbleSize val="0"/>
        </c:dLbls>
        <c:gapWidth val="116"/>
        <c:overlap val="46"/>
        <c:axId val="852931583"/>
        <c:axId val="852930751"/>
      </c:barChart>
      <c:catAx>
        <c:axId val="85293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F5F">
                    <a:alpha val="75000"/>
                  </a:srgbClr>
                </a:solidFill>
                <a:effectLst/>
                <a:latin typeface="+mj-lt"/>
                <a:ea typeface="+mn-ea"/>
                <a:cs typeface="+mn-cs"/>
              </a:defRPr>
            </a:pPr>
            <a:endParaRPr lang="en-NG"/>
          </a:p>
        </c:txPr>
        <c:crossAx val="852930751"/>
        <c:crosses val="autoZero"/>
        <c:auto val="1"/>
        <c:lblAlgn val="ctr"/>
        <c:lblOffset val="100"/>
        <c:noMultiLvlLbl val="0"/>
      </c:catAx>
      <c:valAx>
        <c:axId val="852930751"/>
        <c:scaling>
          <c:orientation val="minMax"/>
        </c:scaling>
        <c:delete val="1"/>
        <c:axPos val="l"/>
        <c:numFmt formatCode="_-* #,##0_-;\-* #,##0_-;_-* &quot;-&quot;??_-;_-@_-" sourceLinked="1"/>
        <c:majorTickMark val="none"/>
        <c:minorTickMark val="none"/>
        <c:tickLblPos val="nextTo"/>
        <c:crossAx val="85293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Book Reading Analysis.xlsx]Calculations!PivotTable4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flat" cmpd="sng">
            <a:solidFill>
              <a:srgbClr val="34B6F5">
                <a:alpha val="60000"/>
              </a:srgbClr>
            </a:solidFill>
            <a:prstDash val="lgDashDot"/>
            <a:bevel/>
            <a:headEnd type="stealt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92002965585635"/>
          <c:y val="0.12492526975794692"/>
          <c:w val="0.27808689087524857"/>
          <c:h val="0.72292114935437379"/>
        </c:manualLayout>
      </c:layout>
      <c:radarChart>
        <c:radarStyle val="marker"/>
        <c:varyColors val="0"/>
        <c:ser>
          <c:idx val="0"/>
          <c:order val="0"/>
          <c:tx>
            <c:strRef>
              <c:f>Calculations!$B$20</c:f>
              <c:strCache>
                <c:ptCount val="1"/>
                <c:pt idx="0">
                  <c:v>Total</c:v>
                </c:pt>
              </c:strCache>
            </c:strRef>
          </c:tx>
          <c:spPr>
            <a:ln w="41275" cap="flat" cmpd="sng">
              <a:solidFill>
                <a:srgbClr val="34B6F5">
                  <a:alpha val="60000"/>
                </a:srgbClr>
              </a:solidFill>
              <a:prstDash val="lgDashDot"/>
              <a:bevel/>
              <a:headEnd type="stealth"/>
            </a:ln>
            <a:effectLst/>
          </c:spPr>
          <c:marker>
            <c:symbol val="none"/>
          </c:marker>
          <c:cat>
            <c:strRef>
              <c:f>Calculations!$A$21:$A$27</c:f>
              <c:strCache>
                <c:ptCount val="7"/>
                <c:pt idx="0">
                  <c:v>100 Bible Lessons </c:v>
                </c:pt>
                <c:pt idx="1">
                  <c:v>Go Not The Way Of Balaam </c:v>
                </c:pt>
                <c:pt idx="2">
                  <c:v>He Leads Me </c:v>
                </c:pt>
                <c:pt idx="3">
                  <c:v>In His Steps</c:v>
                </c:pt>
                <c:pt idx="4">
                  <c:v>Power Through Prayer </c:v>
                </c:pt>
                <c:pt idx="5">
                  <c:v>The Spiritual Man (Vol One)</c:v>
                </c:pt>
                <c:pt idx="6">
                  <c:v>Why Revival Tarries</c:v>
                </c:pt>
              </c:strCache>
            </c:strRef>
          </c:cat>
          <c:val>
            <c:numRef>
              <c:f>Calculations!$B$21:$B$27</c:f>
              <c:numCache>
                <c:formatCode>_-* #,##0_-;\-* #,##0_-;_-* "-"??_-;_-@_-</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2-A034-45DE-B8F2-E5BB0D81B66F}"/>
            </c:ext>
          </c:extLst>
        </c:ser>
        <c:dLbls>
          <c:showLegendKey val="0"/>
          <c:showVal val="0"/>
          <c:showCatName val="0"/>
          <c:showSerName val="0"/>
          <c:showPercent val="0"/>
          <c:showBubbleSize val="0"/>
        </c:dLbls>
        <c:axId val="852932831"/>
        <c:axId val="852926175"/>
      </c:radarChart>
      <c:catAx>
        <c:axId val="852932831"/>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0"/>
        <c:majorTickMark val="out"/>
        <c:minorTickMark val="none"/>
        <c:tickLblPos val="nextTo"/>
        <c:spPr>
          <a:noFill/>
          <a:ln w="9525" cap="flat" cmpd="sng" algn="ctr">
            <a:solidFill>
              <a:schemeClr val="tx1">
                <a:lumMod val="15000"/>
                <a:lumOff val="85000"/>
              </a:schemeClr>
            </a:solidFill>
            <a:round/>
          </a:ln>
          <a:effectLst>
            <a:outerShdw dist="38100" dir="600000" algn="tl" rotWithShape="0">
              <a:srgbClr val="34B6F5">
                <a:alpha val="7000"/>
              </a:srgbClr>
            </a:outerShdw>
          </a:effectLst>
        </c:spPr>
        <c:txPr>
          <a:bodyPr rot="0" spcFirstLastPara="1" vertOverflow="ellipsis" wrap="square" anchor="ctr" anchorCtr="1"/>
          <a:lstStyle/>
          <a:p>
            <a:pPr>
              <a:defRPr sz="1200" b="0" i="0" u="none" strike="noStrike" kern="1200" baseline="0">
                <a:solidFill>
                  <a:srgbClr val="5F5F5F">
                    <a:alpha val="72000"/>
                  </a:srgbClr>
                </a:solidFill>
                <a:effectLst/>
                <a:latin typeface="+mj-lt"/>
                <a:ea typeface="+mn-ea"/>
                <a:cs typeface="+mn-cs"/>
              </a:defRPr>
            </a:pPr>
            <a:endParaRPr lang="en-NG"/>
          </a:p>
        </c:txPr>
        <c:crossAx val="852926175"/>
        <c:crosses val="autoZero"/>
        <c:auto val="1"/>
        <c:lblAlgn val="ctr"/>
        <c:lblOffset val="100"/>
        <c:noMultiLvlLbl val="0"/>
      </c:catAx>
      <c:valAx>
        <c:axId val="852926175"/>
        <c:scaling>
          <c:orientation val="minMax"/>
        </c:scaling>
        <c:delete val="1"/>
        <c:axPos val="l"/>
        <c:numFmt formatCode="_-* #,##0_-;\-* #,##0_-;_-* &quot;-&quot;??_-;_-@_-" sourceLinked="1"/>
        <c:majorTickMark val="out"/>
        <c:minorTickMark val="none"/>
        <c:tickLblPos val="nextTo"/>
        <c:crossAx val="852932831"/>
        <c:crosses val="autoZero"/>
        <c:crossBetween val="between"/>
      </c:valAx>
      <c:spPr>
        <a:noFill/>
        <a:ln w="25400">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Book Reading Analysis.xlsx]Calculations!PivotTable9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F5F5F">
                      <a:alpha val="98000"/>
                    </a:srgbClr>
                  </a:solidFill>
                  <a:latin typeface="+mj-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B6F5">
              <a:alpha val="39000"/>
            </a:srgbClr>
          </a:solidFill>
          <a:ln w="19050">
            <a:noFill/>
          </a:ln>
          <a:effectLst/>
        </c:spPr>
        <c:dLbl>
          <c:idx val="0"/>
          <c:layout>
            <c:manualLayout>
              <c:x val="-3.7457279673704254E-3"/>
              <c:y val="0.1811281634351043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F5F5F">
                      <a:alpha val="98000"/>
                    </a:srgbClr>
                  </a:solidFill>
                  <a:latin typeface="+mj-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4B6F5"/>
          </a:solidFill>
          <a:ln w="19050">
            <a:noFill/>
          </a:ln>
          <a:effectLst/>
        </c:spPr>
      </c:pivotFmt>
      <c:pivotFmt>
        <c:idx val="7"/>
        <c:spPr>
          <a:solidFill>
            <a:srgbClr val="34B6F5"/>
          </a:solidFill>
          <a:ln w="19050">
            <a:solidFill>
              <a:schemeClr val="lt1"/>
            </a:solidFill>
          </a:ln>
          <a:effectLst/>
        </c:spPr>
        <c:dLbl>
          <c:idx val="0"/>
          <c:layout>
            <c:manualLayout>
              <c:x val="2.6335561607121801E-2"/>
              <c:y val="-0.3801241463218886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F5F5F">
                      <a:alpha val="98000"/>
                    </a:srgbClr>
                  </a:solidFill>
                  <a:latin typeface="+mj-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Calculations!$G$8</c:f>
              <c:strCache>
                <c:ptCount val="1"/>
                <c:pt idx="0">
                  <c:v>Total</c:v>
                </c:pt>
              </c:strCache>
            </c:strRef>
          </c:tx>
          <c:dPt>
            <c:idx val="0"/>
            <c:bubble3D val="0"/>
            <c:spPr>
              <a:solidFill>
                <a:srgbClr val="34B6F5">
                  <a:alpha val="39000"/>
                </a:srgbClr>
              </a:solidFill>
              <a:ln w="19050">
                <a:noFill/>
              </a:ln>
              <a:effectLst/>
            </c:spPr>
            <c:extLst>
              <c:ext xmlns:c16="http://schemas.microsoft.com/office/drawing/2014/chart" uri="{C3380CC4-5D6E-409C-BE32-E72D297353CC}">
                <c16:uniqueId val="{00000001-BB9B-43BF-A166-4E7BE082234F}"/>
              </c:ext>
            </c:extLst>
          </c:dPt>
          <c:dPt>
            <c:idx val="1"/>
            <c:bubble3D val="0"/>
            <c:spPr>
              <a:solidFill>
                <a:srgbClr val="34B6F5"/>
              </a:solidFill>
              <a:ln w="19050">
                <a:solidFill>
                  <a:schemeClr val="lt1"/>
                </a:solidFill>
              </a:ln>
              <a:effectLst/>
            </c:spPr>
            <c:extLst>
              <c:ext xmlns:c16="http://schemas.microsoft.com/office/drawing/2014/chart" uri="{C3380CC4-5D6E-409C-BE32-E72D297353CC}">
                <c16:uniqueId val="{00000003-BB9B-43BF-A166-4E7BE082234F}"/>
              </c:ext>
            </c:extLst>
          </c:dPt>
          <c:dLbls>
            <c:dLbl>
              <c:idx val="0"/>
              <c:layout>
                <c:manualLayout>
                  <c:x val="-3.7457279673704254E-3"/>
                  <c:y val="0.1811281634351043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9B-43BF-A166-4E7BE082234F}"/>
                </c:ext>
              </c:extLst>
            </c:dLbl>
            <c:dLbl>
              <c:idx val="1"/>
              <c:layout>
                <c:manualLayout>
                  <c:x val="2.6335561607121801E-2"/>
                  <c:y val="-0.3801241463218886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9B-43BF-A166-4E7BE082234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F5F5F">
                        <a:alpha val="98000"/>
                      </a:srgbClr>
                    </a:solidFill>
                    <a:latin typeface="+mj-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Calculations!$F$9:$F$10</c:f>
              <c:strCache>
                <c:ptCount val="2"/>
                <c:pt idx="0">
                  <c:v>Borrowed</c:v>
                </c:pt>
                <c:pt idx="1">
                  <c:v>Owned</c:v>
                </c:pt>
              </c:strCache>
            </c:strRef>
          </c:cat>
          <c:val>
            <c:numRef>
              <c:f>Calculations!$G$9:$G$10</c:f>
              <c:numCache>
                <c:formatCode>_-* #,##0_-;\-* #,##0_-;_-* "-"??_-;_-@_-</c:formatCode>
                <c:ptCount val="2"/>
                <c:pt idx="0">
                  <c:v>11</c:v>
                </c:pt>
                <c:pt idx="1">
                  <c:v>16</c:v>
                </c:pt>
              </c:numCache>
            </c:numRef>
          </c:val>
          <c:extLst>
            <c:ext xmlns:c16="http://schemas.microsoft.com/office/drawing/2014/chart" uri="{C3380CC4-5D6E-409C-BE32-E72D297353CC}">
              <c16:uniqueId val="{00000005-190E-406E-8F7B-4642045BE561}"/>
            </c:ext>
          </c:extLst>
        </c:ser>
        <c:dLbls>
          <c:dLblPos val="inEnd"/>
          <c:showLegendKey val="0"/>
          <c:showVal val="1"/>
          <c:showCatName val="0"/>
          <c:showSerName val="0"/>
          <c:showPercent val="0"/>
          <c:showBubbleSize val="0"/>
          <c:showLeaderLines val="1"/>
        </c:dLbls>
        <c:firstSliceAng val="6"/>
      </c:pieChart>
      <c:spPr>
        <a:noFill/>
        <a:ln>
          <a:noFill/>
        </a:ln>
        <a:effectLst/>
      </c:spPr>
    </c:plotArea>
    <c:legend>
      <c:legendPos val="r"/>
      <c:layout>
        <c:manualLayout>
          <c:xMode val="edge"/>
          <c:yMode val="edge"/>
          <c:x val="0.67730198735762404"/>
          <c:y val="0.75026243978080109"/>
          <c:w val="0.19919684639549182"/>
          <c:h val="0.15523524270525563"/>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5F5F5F">
                  <a:alpha val="80000"/>
                </a:srgbClr>
              </a:solidFill>
              <a:latin typeface="+mj-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Book Reading Analysis.xlsx]Calculations!PivotTable7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4B6F5">
              <a:alpha val="70000"/>
            </a:srgbClr>
          </a:solidFill>
          <a:ln>
            <a:noFill/>
          </a:ln>
          <a:effectLst>
            <a:softEdge rad="38100"/>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1200" b="0" i="0" u="none" strike="noStrike" kern="1200" baseline="0">
                  <a:solidFill>
                    <a:srgbClr val="5F5F5F">
                      <a:alpha val="98000"/>
                    </a:srgbClr>
                  </a:solidFill>
                  <a:latin typeface="+mj-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6737447981067"/>
          <c:y val="8.1586450401084989E-2"/>
          <c:w val="0.81163262552018933"/>
          <c:h val="0.89814814814814814"/>
        </c:manualLayout>
      </c:layout>
      <c:barChart>
        <c:barDir val="bar"/>
        <c:grouping val="clustered"/>
        <c:varyColors val="0"/>
        <c:ser>
          <c:idx val="0"/>
          <c:order val="0"/>
          <c:tx>
            <c:strRef>
              <c:f>Calculations!$B$34</c:f>
              <c:strCache>
                <c:ptCount val="1"/>
                <c:pt idx="0">
                  <c:v>Total</c:v>
                </c:pt>
              </c:strCache>
            </c:strRef>
          </c:tx>
          <c:spPr>
            <a:solidFill>
              <a:srgbClr val="34B6F5">
                <a:alpha val="70000"/>
              </a:srgbClr>
            </a:solidFill>
            <a:ln>
              <a:noFill/>
            </a:ln>
            <a:effectLst>
              <a:softEdge rad="38100"/>
            </a:effectLst>
          </c:spPr>
          <c:invertIfNegative val="0"/>
          <c:dLbls>
            <c:spPr>
              <a:noFill/>
              <a:ln>
                <a:noFill/>
              </a:ln>
              <a:effectLst/>
            </c:spPr>
            <c:txPr>
              <a:bodyPr rot="0" spcFirstLastPara="1" vertOverflow="overflow" horzOverflow="overflow" vert="horz" wrap="square" lIns="38100" tIns="19050" rIns="38100" bIns="19050" anchor="ctr" anchorCtr="0">
                <a:spAutoFit/>
              </a:bodyPr>
              <a:lstStyle/>
              <a:p>
                <a:pPr algn="ctr">
                  <a:defRPr lang="en-US" sz="1200" b="0" i="0" u="none" strike="noStrike" kern="1200" baseline="0">
                    <a:solidFill>
                      <a:srgbClr val="5F5F5F">
                        <a:alpha val="98000"/>
                      </a:srgbClr>
                    </a:solidFill>
                    <a:latin typeface="+mj-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Calculations!$A$35:$A$40</c:f>
              <c:strCache>
                <c:ptCount val="6"/>
                <c:pt idx="0">
                  <c:v>Mar-25</c:v>
                </c:pt>
                <c:pt idx="1">
                  <c:v>Jun-25</c:v>
                </c:pt>
                <c:pt idx="2">
                  <c:v>Dec-24</c:v>
                </c:pt>
                <c:pt idx="3">
                  <c:v>Oct-25</c:v>
                </c:pt>
                <c:pt idx="4">
                  <c:v>Sept-25</c:v>
                </c:pt>
                <c:pt idx="5">
                  <c:v>Jan-25</c:v>
                </c:pt>
              </c:strCache>
            </c:strRef>
          </c:cat>
          <c:val>
            <c:numRef>
              <c:f>Calculations!$B$35:$B$40</c:f>
              <c:numCache>
                <c:formatCode>_-* #,##0_-;\-* #,##0_-;_-* "-"??_-;_-@_-</c:formatCode>
                <c:ptCount val="6"/>
                <c:pt idx="0">
                  <c:v>3</c:v>
                </c:pt>
                <c:pt idx="1">
                  <c:v>3</c:v>
                </c:pt>
                <c:pt idx="2">
                  <c:v>3</c:v>
                </c:pt>
                <c:pt idx="3">
                  <c:v>3</c:v>
                </c:pt>
                <c:pt idx="4">
                  <c:v>3</c:v>
                </c:pt>
                <c:pt idx="5">
                  <c:v>4</c:v>
                </c:pt>
              </c:numCache>
            </c:numRef>
          </c:val>
          <c:extLst>
            <c:ext xmlns:c16="http://schemas.microsoft.com/office/drawing/2014/chart" uri="{C3380CC4-5D6E-409C-BE32-E72D297353CC}">
              <c16:uniqueId val="{00000000-5940-4FD1-93D0-A0A63485ACE5}"/>
            </c:ext>
          </c:extLst>
        </c:ser>
        <c:dLbls>
          <c:dLblPos val="outEnd"/>
          <c:showLegendKey val="0"/>
          <c:showVal val="1"/>
          <c:showCatName val="0"/>
          <c:showSerName val="0"/>
          <c:showPercent val="0"/>
          <c:showBubbleSize val="0"/>
        </c:dLbls>
        <c:gapWidth val="200"/>
        <c:overlap val="27"/>
        <c:axId val="237674800"/>
        <c:axId val="237681040"/>
      </c:barChart>
      <c:catAx>
        <c:axId val="237674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5F5F5F">
                    <a:alpha val="72000"/>
                  </a:srgbClr>
                </a:solidFill>
                <a:effectLst/>
                <a:latin typeface="+mj-lt"/>
                <a:ea typeface="+mn-ea"/>
                <a:cs typeface="+mn-cs"/>
              </a:defRPr>
            </a:pPr>
            <a:endParaRPr lang="en-NG"/>
          </a:p>
        </c:txPr>
        <c:crossAx val="237681040"/>
        <c:crosses val="autoZero"/>
        <c:auto val="1"/>
        <c:lblAlgn val="ctr"/>
        <c:lblOffset val="100"/>
        <c:noMultiLvlLbl val="0"/>
      </c:catAx>
      <c:valAx>
        <c:axId val="237681040"/>
        <c:scaling>
          <c:orientation val="minMax"/>
        </c:scaling>
        <c:delete val="1"/>
        <c:axPos val="b"/>
        <c:numFmt formatCode="_-* #,##0_-;\-* #,##0_-;_-* &quot;-&quot;??_-;_-@_-" sourceLinked="1"/>
        <c:majorTickMark val="out"/>
        <c:minorTickMark val="none"/>
        <c:tickLblPos val="nextTo"/>
        <c:crossAx val="23767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alculations!A1"/><Relationship Id="rId2" Type="http://schemas.openxmlformats.org/officeDocument/2006/relationships/image" Target="../media/image1.png"/><Relationship Id="rId1"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shboard!A1"/><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hyperlink" Target="#Calculations!A1"/><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1.png"/><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3</xdr:col>
      <xdr:colOff>317500</xdr:colOff>
      <xdr:row>0</xdr:row>
      <xdr:rowOff>0</xdr:rowOff>
    </xdr:from>
    <xdr:to>
      <xdr:col>3</xdr:col>
      <xdr:colOff>3456781</xdr:colOff>
      <xdr:row>0</xdr:row>
      <xdr:rowOff>369094</xdr:rowOff>
    </xdr:to>
    <xdr:sp macro="" textlink="">
      <xdr:nvSpPr>
        <xdr:cNvPr id="6" name="Rectangle: Rounded Corners 5">
          <a:extLst>
            <a:ext uri="{FF2B5EF4-FFF2-40B4-BE49-F238E27FC236}">
              <a16:creationId xmlns:a16="http://schemas.microsoft.com/office/drawing/2014/main" id="{237A3775-19A9-49F3-8AEA-C8A7017BCE75}"/>
            </a:ext>
          </a:extLst>
        </xdr:cNvPr>
        <xdr:cNvSpPr/>
      </xdr:nvSpPr>
      <xdr:spPr>
        <a:xfrm>
          <a:off x="2660431" y="0"/>
          <a:ext cx="3139281" cy="369094"/>
        </a:xfrm>
        <a:prstGeom prst="roundRect">
          <a:avLst>
            <a:gd name="adj" fmla="val 50000"/>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569311</xdr:colOff>
      <xdr:row>0</xdr:row>
      <xdr:rowOff>76638</xdr:rowOff>
    </xdr:from>
    <xdr:to>
      <xdr:col>3</xdr:col>
      <xdr:colOff>866968</xdr:colOff>
      <xdr:row>0</xdr:row>
      <xdr:rowOff>374295</xdr:rowOff>
    </xdr:to>
    <xdr:pic>
      <xdr:nvPicPr>
        <xdr:cNvPr id="7" name="Picture 6">
          <a:hlinkClick xmlns:r="http://schemas.openxmlformats.org/officeDocument/2006/relationships" r:id="rId1"/>
          <a:extLst>
            <a:ext uri="{FF2B5EF4-FFF2-40B4-BE49-F238E27FC236}">
              <a16:creationId xmlns:a16="http://schemas.microsoft.com/office/drawing/2014/main" id="{36B646B3-6C9B-4AC1-B01E-D6FC6C1A476C}"/>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2912242" y="76638"/>
          <a:ext cx="297657" cy="297657"/>
        </a:xfrm>
        <a:prstGeom prst="rect">
          <a:avLst/>
        </a:prstGeom>
      </xdr:spPr>
    </xdr:pic>
    <xdr:clientData/>
  </xdr:twoCellAnchor>
  <xdr:twoCellAnchor editAs="oneCell">
    <xdr:from>
      <xdr:col>3</xdr:col>
      <xdr:colOff>2966981</xdr:colOff>
      <xdr:row>0</xdr:row>
      <xdr:rowOff>0</xdr:rowOff>
    </xdr:from>
    <xdr:to>
      <xdr:col>3</xdr:col>
      <xdr:colOff>3407512</xdr:colOff>
      <xdr:row>1</xdr:row>
      <xdr:rowOff>35445</xdr:rowOff>
    </xdr:to>
    <xdr:pic>
      <xdr:nvPicPr>
        <xdr:cNvPr id="8" name="Picture 7">
          <a:hlinkClick xmlns:r="http://schemas.openxmlformats.org/officeDocument/2006/relationships" r:id="rId3"/>
          <a:extLst>
            <a:ext uri="{FF2B5EF4-FFF2-40B4-BE49-F238E27FC236}">
              <a16:creationId xmlns:a16="http://schemas.microsoft.com/office/drawing/2014/main" id="{513EDB21-7088-4E80-9C95-1DE6D2F94EFD}"/>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309912" y="0"/>
          <a:ext cx="440531" cy="4405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325557</xdr:colOff>
      <xdr:row>1</xdr:row>
      <xdr:rowOff>122465</xdr:rowOff>
    </xdr:from>
    <xdr:to>
      <xdr:col>27</xdr:col>
      <xdr:colOff>326571</xdr:colOff>
      <xdr:row>38</xdr:row>
      <xdr:rowOff>122464</xdr:rowOff>
    </xdr:to>
    <xdr:grpSp>
      <xdr:nvGrpSpPr>
        <xdr:cNvPr id="11" name="Group 10">
          <a:extLst>
            <a:ext uri="{FF2B5EF4-FFF2-40B4-BE49-F238E27FC236}">
              <a16:creationId xmlns:a16="http://schemas.microsoft.com/office/drawing/2014/main" id="{FC237200-68F9-460C-B2F3-6D26482E2A47}"/>
            </a:ext>
          </a:extLst>
        </xdr:cNvPr>
        <xdr:cNvGrpSpPr/>
      </xdr:nvGrpSpPr>
      <xdr:grpSpPr>
        <a:xfrm>
          <a:off x="1550200" y="312965"/>
          <a:ext cx="15309050" cy="7048499"/>
          <a:chOff x="1286131" y="297655"/>
          <a:chExt cx="10402478" cy="5016373"/>
        </a:xfrm>
      </xdr:grpSpPr>
      <xdr:sp macro="" textlink="">
        <xdr:nvSpPr>
          <xdr:cNvPr id="2" name="Rectangle: Rounded Corners 1">
            <a:extLst>
              <a:ext uri="{FF2B5EF4-FFF2-40B4-BE49-F238E27FC236}">
                <a16:creationId xmlns:a16="http://schemas.microsoft.com/office/drawing/2014/main" id="{8F5032DF-BA24-4B8A-94B0-B7CDAB3F2DE6}"/>
              </a:ext>
            </a:extLst>
          </xdr:cNvPr>
          <xdr:cNvSpPr/>
        </xdr:nvSpPr>
        <xdr:spPr>
          <a:xfrm>
            <a:off x="1320645" y="452181"/>
            <a:ext cx="10367964" cy="4861847"/>
          </a:xfrm>
          <a:prstGeom prst="roundRect">
            <a:avLst>
              <a:gd name="adj" fmla="val 5556"/>
            </a:avLst>
          </a:prstGeom>
          <a:solidFill>
            <a:srgbClr val="F3F5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Rectangle: Rounded Corners 2">
            <a:extLst>
              <a:ext uri="{FF2B5EF4-FFF2-40B4-BE49-F238E27FC236}">
                <a16:creationId xmlns:a16="http://schemas.microsoft.com/office/drawing/2014/main" id="{EAF87B38-DC6C-40D6-9ECF-5F61B290CAE1}"/>
              </a:ext>
            </a:extLst>
          </xdr:cNvPr>
          <xdr:cNvSpPr/>
        </xdr:nvSpPr>
        <xdr:spPr>
          <a:xfrm>
            <a:off x="1450181" y="1004889"/>
            <a:ext cx="1574006" cy="847725"/>
          </a:xfrm>
          <a:prstGeom prst="roundRect">
            <a:avLst>
              <a:gd name="adj" fmla="val 11049"/>
            </a:avLst>
          </a:prstGeom>
          <a:solidFill>
            <a:srgbClr val="34B6F5">
              <a:alpha val="50000"/>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A6D3F610-8E5D-4DC4-9A5A-8D1B2077DF1A}"/>
              </a:ext>
            </a:extLst>
          </xdr:cNvPr>
          <xdr:cNvSpPr/>
        </xdr:nvSpPr>
        <xdr:spPr>
          <a:xfrm>
            <a:off x="1452563" y="1976440"/>
            <a:ext cx="1576387" cy="916779"/>
          </a:xfrm>
          <a:prstGeom prst="roundRect">
            <a:avLst>
              <a:gd name="adj" fmla="val 11049"/>
            </a:avLst>
          </a:prstGeom>
          <a:solidFill>
            <a:srgbClr val="34B6F5">
              <a:alpha val="50000"/>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Rectangle: Rounded Corners 4">
            <a:extLst>
              <a:ext uri="{FF2B5EF4-FFF2-40B4-BE49-F238E27FC236}">
                <a16:creationId xmlns:a16="http://schemas.microsoft.com/office/drawing/2014/main" id="{B1290086-0072-4B81-93F5-2EE5C4E2EDA7}"/>
              </a:ext>
            </a:extLst>
          </xdr:cNvPr>
          <xdr:cNvSpPr/>
        </xdr:nvSpPr>
        <xdr:spPr>
          <a:xfrm>
            <a:off x="1458043" y="3032765"/>
            <a:ext cx="1574006" cy="2190750"/>
          </a:xfrm>
          <a:prstGeom prst="roundRect">
            <a:avLst>
              <a:gd name="adj" fmla="val 11049"/>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 name="Rectangle: Rounded Corners 5">
            <a:extLst>
              <a:ext uri="{FF2B5EF4-FFF2-40B4-BE49-F238E27FC236}">
                <a16:creationId xmlns:a16="http://schemas.microsoft.com/office/drawing/2014/main" id="{B5457291-AB85-43B7-A294-6DE375DAA6E8}"/>
              </a:ext>
            </a:extLst>
          </xdr:cNvPr>
          <xdr:cNvSpPr/>
        </xdr:nvSpPr>
        <xdr:spPr>
          <a:xfrm>
            <a:off x="3178969" y="869157"/>
            <a:ext cx="5667374" cy="1985963"/>
          </a:xfrm>
          <a:prstGeom prst="roundRect">
            <a:avLst>
              <a:gd name="adj" fmla="val 11049"/>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7" name="Rectangle: Rounded Corners 6">
            <a:extLst>
              <a:ext uri="{FF2B5EF4-FFF2-40B4-BE49-F238E27FC236}">
                <a16:creationId xmlns:a16="http://schemas.microsoft.com/office/drawing/2014/main" id="{AF138D1E-8523-4C96-BCA8-2B22DBC1DF17}"/>
              </a:ext>
            </a:extLst>
          </xdr:cNvPr>
          <xdr:cNvSpPr/>
        </xdr:nvSpPr>
        <xdr:spPr>
          <a:xfrm>
            <a:off x="3115853" y="2961892"/>
            <a:ext cx="5691186" cy="2274093"/>
          </a:xfrm>
          <a:prstGeom prst="roundRect">
            <a:avLst>
              <a:gd name="adj" fmla="val 11049"/>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 name="Rectangle: Rounded Corners 7">
            <a:extLst>
              <a:ext uri="{FF2B5EF4-FFF2-40B4-BE49-F238E27FC236}">
                <a16:creationId xmlns:a16="http://schemas.microsoft.com/office/drawing/2014/main" id="{02F996A0-3140-47CD-BF92-9FE94F697CA3}"/>
              </a:ext>
            </a:extLst>
          </xdr:cNvPr>
          <xdr:cNvSpPr/>
        </xdr:nvSpPr>
        <xdr:spPr>
          <a:xfrm>
            <a:off x="9082879" y="821533"/>
            <a:ext cx="2406651" cy="2059781"/>
          </a:xfrm>
          <a:prstGeom prst="roundRect">
            <a:avLst>
              <a:gd name="adj" fmla="val 11049"/>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9" name="Rectangle: Rounded Corners 8">
            <a:extLst>
              <a:ext uri="{FF2B5EF4-FFF2-40B4-BE49-F238E27FC236}">
                <a16:creationId xmlns:a16="http://schemas.microsoft.com/office/drawing/2014/main" id="{A3D0510C-A7DB-4A59-97D1-4F69B6F7867A}"/>
              </a:ext>
            </a:extLst>
          </xdr:cNvPr>
          <xdr:cNvSpPr/>
        </xdr:nvSpPr>
        <xdr:spPr>
          <a:xfrm>
            <a:off x="9113530" y="3041854"/>
            <a:ext cx="2376000" cy="2208522"/>
          </a:xfrm>
          <a:prstGeom prst="roundRect">
            <a:avLst>
              <a:gd name="adj" fmla="val 11049"/>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lt1"/>
              </a:solidFill>
            </a:endParaRPr>
          </a:p>
        </xdr:txBody>
      </xdr:sp>
      <xdr:sp macro="" textlink="">
        <xdr:nvSpPr>
          <xdr:cNvPr id="14" name="Rectangle: Rounded Corners 13">
            <a:extLst>
              <a:ext uri="{FF2B5EF4-FFF2-40B4-BE49-F238E27FC236}">
                <a16:creationId xmlns:a16="http://schemas.microsoft.com/office/drawing/2014/main" id="{167418A6-BB13-497E-884B-3884ADEB4704}"/>
              </a:ext>
            </a:extLst>
          </xdr:cNvPr>
          <xdr:cNvSpPr/>
        </xdr:nvSpPr>
        <xdr:spPr>
          <a:xfrm>
            <a:off x="4921250" y="333375"/>
            <a:ext cx="3139281" cy="369094"/>
          </a:xfrm>
          <a:prstGeom prst="roundRect">
            <a:avLst>
              <a:gd name="adj" fmla="val 50000"/>
            </a:avLst>
          </a:prstGeom>
          <a:solidFill>
            <a:srgbClr val="FCFCFC">
              <a:alpha val="49804"/>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8" name="Picture 17">
            <a:hlinkClick xmlns:r="http://schemas.openxmlformats.org/officeDocument/2006/relationships" r:id="rId1"/>
            <a:extLst>
              <a:ext uri="{FF2B5EF4-FFF2-40B4-BE49-F238E27FC236}">
                <a16:creationId xmlns:a16="http://schemas.microsoft.com/office/drawing/2014/main" id="{2FC68242-C82D-4982-8212-0F0918F045DA}"/>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584282" y="297655"/>
            <a:ext cx="440531" cy="440531"/>
          </a:xfrm>
          <a:prstGeom prst="rect">
            <a:avLst/>
          </a:prstGeom>
        </xdr:spPr>
      </xdr:pic>
      <xdr:pic>
        <xdr:nvPicPr>
          <xdr:cNvPr id="20" name="Picture 19">
            <a:hlinkClick xmlns:r="http://schemas.openxmlformats.org/officeDocument/2006/relationships" r:id="rId3"/>
            <a:extLst>
              <a:ext uri="{FF2B5EF4-FFF2-40B4-BE49-F238E27FC236}">
                <a16:creationId xmlns:a16="http://schemas.microsoft.com/office/drawing/2014/main" id="{E7E5A44B-C279-4EAB-9CB1-29EBE6577F73}"/>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167312" y="386952"/>
            <a:ext cx="297657" cy="297657"/>
          </a:xfrm>
          <a:prstGeom prst="rect">
            <a:avLst/>
          </a:prstGeom>
          <a:effectLst/>
        </xdr:spPr>
      </xdr:pic>
      <xdr:sp macro="" textlink="">
        <xdr:nvSpPr>
          <xdr:cNvPr id="47" name="TextBox 46">
            <a:extLst>
              <a:ext uri="{FF2B5EF4-FFF2-40B4-BE49-F238E27FC236}">
                <a16:creationId xmlns:a16="http://schemas.microsoft.com/office/drawing/2014/main" id="{2B07BD26-FDAC-4CC8-945D-CD87F077D8FA}"/>
              </a:ext>
            </a:extLst>
          </xdr:cNvPr>
          <xdr:cNvSpPr txBox="1"/>
        </xdr:nvSpPr>
        <xdr:spPr>
          <a:xfrm>
            <a:off x="1443038" y="1966913"/>
            <a:ext cx="928687"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alpha val="80000"/>
                  </a:schemeClr>
                </a:solidFill>
              </a:rPr>
              <a:t># of</a:t>
            </a:r>
            <a:r>
              <a:rPr lang="en-GB" sz="1400" baseline="0">
                <a:solidFill>
                  <a:schemeClr val="bg1">
                    <a:alpha val="80000"/>
                  </a:schemeClr>
                </a:solidFill>
              </a:rPr>
              <a:t> Pages</a:t>
            </a:r>
            <a:endParaRPr lang="en-NG" sz="1400">
              <a:solidFill>
                <a:schemeClr val="bg1">
                  <a:alpha val="80000"/>
                </a:schemeClr>
              </a:solidFill>
            </a:endParaRPr>
          </a:p>
        </xdr:txBody>
      </xdr:sp>
      <xdr:sp macro="" textlink="">
        <xdr:nvSpPr>
          <xdr:cNvPr id="51" name="TextBox 50">
            <a:extLst>
              <a:ext uri="{FF2B5EF4-FFF2-40B4-BE49-F238E27FC236}">
                <a16:creationId xmlns:a16="http://schemas.microsoft.com/office/drawing/2014/main" id="{41E5F624-C2FB-4B63-BBBD-91E1153D3668}"/>
              </a:ext>
            </a:extLst>
          </xdr:cNvPr>
          <xdr:cNvSpPr txBox="1"/>
        </xdr:nvSpPr>
        <xdr:spPr>
          <a:xfrm>
            <a:off x="3219450" y="3017043"/>
            <a:ext cx="1721644"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rgbClr val="5F5F5F">
                    <a:alpha val="70000"/>
                  </a:srgbClr>
                </a:solidFill>
                <a:latin typeface="+mj-lt"/>
                <a:ea typeface="+mn-ea"/>
                <a:cs typeface="+mn-cs"/>
              </a:rPr>
              <a:t>Top</a:t>
            </a:r>
            <a:r>
              <a:rPr lang="en-GB" sz="1300" b="1" baseline="0">
                <a:solidFill>
                  <a:srgbClr val="5F5F5F">
                    <a:alpha val="70000"/>
                  </a:srgbClr>
                </a:solidFill>
                <a:latin typeface="+mj-lt"/>
                <a:ea typeface="+mn-ea"/>
                <a:cs typeface="+mn-cs"/>
              </a:rPr>
              <a:t> 6 Rated Books</a:t>
            </a:r>
            <a:endParaRPr lang="en-NG" sz="1300" b="1">
              <a:solidFill>
                <a:srgbClr val="5F5F5F">
                  <a:alpha val="70000"/>
                </a:srgbClr>
              </a:solidFill>
              <a:latin typeface="+mj-lt"/>
              <a:ea typeface="+mn-ea"/>
              <a:cs typeface="+mn-cs"/>
            </a:endParaRPr>
          </a:p>
        </xdr:txBody>
      </xdr:sp>
      <xdr:sp macro="" textlink="">
        <xdr:nvSpPr>
          <xdr:cNvPr id="58" name="TextBox 57">
            <a:extLst>
              <a:ext uri="{FF2B5EF4-FFF2-40B4-BE49-F238E27FC236}">
                <a16:creationId xmlns:a16="http://schemas.microsoft.com/office/drawing/2014/main" id="{BC7A47FE-9C20-4951-98D6-79417ADA2A9D}"/>
              </a:ext>
            </a:extLst>
          </xdr:cNvPr>
          <xdr:cNvSpPr txBox="1"/>
        </xdr:nvSpPr>
        <xdr:spPr>
          <a:xfrm>
            <a:off x="9161932" y="3087053"/>
            <a:ext cx="1793083"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rgbClr val="5F5F5F">
                    <a:alpha val="70000"/>
                  </a:srgbClr>
                </a:solidFill>
                <a:latin typeface="+mj-lt"/>
                <a:ea typeface="+mn-ea"/>
                <a:cs typeface="+mn-cs"/>
              </a:rPr>
              <a:t>Owned</a:t>
            </a:r>
            <a:r>
              <a:rPr lang="en-GB" sz="1300" b="1" baseline="0">
                <a:solidFill>
                  <a:srgbClr val="5F5F5F">
                    <a:alpha val="70000"/>
                  </a:srgbClr>
                </a:solidFill>
                <a:latin typeface="+mj-lt"/>
                <a:ea typeface="+mn-ea"/>
                <a:cs typeface="+mn-cs"/>
              </a:rPr>
              <a:t> vs Borrowed</a:t>
            </a:r>
            <a:endParaRPr lang="en-NG" sz="1300" b="1">
              <a:solidFill>
                <a:srgbClr val="5F5F5F">
                  <a:alpha val="70000"/>
                </a:srgbClr>
              </a:solidFill>
              <a:latin typeface="+mj-lt"/>
              <a:ea typeface="+mn-ea"/>
              <a:cs typeface="+mn-cs"/>
            </a:endParaRPr>
          </a:p>
        </xdr:txBody>
      </xdr:sp>
      <xdr:sp macro="" textlink="">
        <xdr:nvSpPr>
          <xdr:cNvPr id="59" name="TextBox 58">
            <a:extLst>
              <a:ext uri="{FF2B5EF4-FFF2-40B4-BE49-F238E27FC236}">
                <a16:creationId xmlns:a16="http://schemas.microsoft.com/office/drawing/2014/main" id="{D57A7BB4-2C2F-4FA6-B4E6-E76D26083095}"/>
              </a:ext>
            </a:extLst>
          </xdr:cNvPr>
          <xdr:cNvSpPr txBox="1"/>
        </xdr:nvSpPr>
        <xdr:spPr>
          <a:xfrm>
            <a:off x="9171144" y="882327"/>
            <a:ext cx="1676402" cy="29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rgbClr val="5F5F5F">
                    <a:alpha val="70000"/>
                  </a:srgbClr>
                </a:solidFill>
                <a:latin typeface="+mj-lt"/>
                <a:ea typeface="+mn-ea"/>
                <a:cs typeface="+mn-cs"/>
              </a:rPr>
              <a:t>Top</a:t>
            </a:r>
            <a:r>
              <a:rPr lang="en-GB" sz="1300" b="1" baseline="0">
                <a:solidFill>
                  <a:srgbClr val="5F5F5F">
                    <a:alpha val="70000"/>
                  </a:srgbClr>
                </a:solidFill>
                <a:latin typeface="+mj-lt"/>
                <a:ea typeface="+mn-ea"/>
                <a:cs typeface="+mn-cs"/>
              </a:rPr>
              <a:t> 6 Months By Read</a:t>
            </a:r>
            <a:endParaRPr lang="en-NG" sz="1300" b="1">
              <a:solidFill>
                <a:srgbClr val="5F5F5F">
                  <a:alpha val="70000"/>
                </a:srgbClr>
              </a:solidFill>
              <a:latin typeface="+mj-lt"/>
              <a:ea typeface="+mn-ea"/>
              <a:cs typeface="+mn-cs"/>
            </a:endParaRPr>
          </a:p>
        </xdr:txBody>
      </xdr:sp>
      <xdr:sp macro="" textlink="">
        <xdr:nvSpPr>
          <xdr:cNvPr id="60" name="TextBox 59">
            <a:extLst>
              <a:ext uri="{FF2B5EF4-FFF2-40B4-BE49-F238E27FC236}">
                <a16:creationId xmlns:a16="http://schemas.microsoft.com/office/drawing/2014/main" id="{21F71604-C4C4-4A2D-BB16-D389754668F3}"/>
              </a:ext>
            </a:extLst>
          </xdr:cNvPr>
          <xdr:cNvSpPr txBox="1"/>
        </xdr:nvSpPr>
        <xdr:spPr>
          <a:xfrm>
            <a:off x="1532558" y="3076573"/>
            <a:ext cx="1566863"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rgbClr val="5F5F5F">
                    <a:alpha val="70000"/>
                  </a:srgbClr>
                </a:solidFill>
                <a:latin typeface="+mj-lt"/>
                <a:ea typeface="+mn-ea"/>
                <a:cs typeface="+mn-cs"/>
              </a:rPr>
              <a:t>Hard</a:t>
            </a:r>
            <a:r>
              <a:rPr lang="en-GB" sz="1300" b="1" baseline="0">
                <a:solidFill>
                  <a:srgbClr val="5F5F5F">
                    <a:alpha val="70000"/>
                  </a:srgbClr>
                </a:solidFill>
                <a:latin typeface="+mj-lt"/>
                <a:ea typeface="+mn-ea"/>
                <a:cs typeface="+mn-cs"/>
              </a:rPr>
              <a:t> vs Soft Copy</a:t>
            </a:r>
            <a:endParaRPr lang="en-NG" sz="1300" b="1">
              <a:solidFill>
                <a:srgbClr val="5F5F5F">
                  <a:alpha val="70000"/>
                </a:srgbClr>
              </a:solidFill>
              <a:latin typeface="+mj-lt"/>
              <a:ea typeface="+mn-ea"/>
              <a:cs typeface="+mn-cs"/>
            </a:endParaRPr>
          </a:p>
        </xdr:txBody>
      </xdr:sp>
      <xdr:sp macro="" textlink="">
        <xdr:nvSpPr>
          <xdr:cNvPr id="61" name="TextBox 60">
            <a:extLst>
              <a:ext uri="{FF2B5EF4-FFF2-40B4-BE49-F238E27FC236}">
                <a16:creationId xmlns:a16="http://schemas.microsoft.com/office/drawing/2014/main" id="{0D68E6DE-7CD3-48DC-8D28-3435D8ED3B7C}"/>
              </a:ext>
            </a:extLst>
          </xdr:cNvPr>
          <xdr:cNvSpPr txBox="1"/>
        </xdr:nvSpPr>
        <xdr:spPr>
          <a:xfrm>
            <a:off x="3228567" y="902969"/>
            <a:ext cx="1614487"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rgbClr val="5F5F5F">
                    <a:alpha val="70000"/>
                  </a:srgbClr>
                </a:solidFill>
                <a:latin typeface="+mj-lt"/>
                <a:ea typeface="+mn-ea"/>
                <a:cs typeface="+mn-cs"/>
              </a:rPr>
              <a:t>Most</a:t>
            </a:r>
            <a:r>
              <a:rPr lang="en-GB" sz="1300" b="1" baseline="0">
                <a:solidFill>
                  <a:srgbClr val="5F5F5F">
                    <a:alpha val="70000"/>
                  </a:srgbClr>
                </a:solidFill>
                <a:latin typeface="+mj-lt"/>
                <a:ea typeface="+mn-ea"/>
                <a:cs typeface="+mn-cs"/>
              </a:rPr>
              <a:t> Read Author</a:t>
            </a:r>
            <a:endParaRPr lang="en-NG" sz="1300" b="1">
              <a:solidFill>
                <a:srgbClr val="5F5F5F">
                  <a:alpha val="70000"/>
                </a:srgbClr>
              </a:solidFill>
              <a:latin typeface="+mj-lt"/>
              <a:ea typeface="+mn-ea"/>
              <a:cs typeface="+mn-cs"/>
            </a:endParaRPr>
          </a:p>
        </xdr:txBody>
      </xdr:sp>
      <xdr:sp macro="" textlink="">
        <xdr:nvSpPr>
          <xdr:cNvPr id="62" name="TextBox 61">
            <a:extLst>
              <a:ext uri="{FF2B5EF4-FFF2-40B4-BE49-F238E27FC236}">
                <a16:creationId xmlns:a16="http://schemas.microsoft.com/office/drawing/2014/main" id="{06D67333-C5A2-43A8-A981-32E7A47A5EE9}"/>
              </a:ext>
            </a:extLst>
          </xdr:cNvPr>
          <xdr:cNvSpPr txBox="1"/>
        </xdr:nvSpPr>
        <xdr:spPr>
          <a:xfrm>
            <a:off x="10458450" y="564354"/>
            <a:ext cx="992188"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rgbClr val="5F5F5F">
                    <a:alpha val="70000"/>
                  </a:srgbClr>
                </a:solidFill>
                <a:latin typeface="+mj-lt"/>
                <a:ea typeface="+mn-ea"/>
                <a:cs typeface="+mn-cs"/>
              </a:rPr>
              <a:t># of Books</a:t>
            </a:r>
            <a:endParaRPr lang="en-NG" sz="1600" b="1" baseline="0">
              <a:solidFill>
                <a:srgbClr val="5F5F5F">
                  <a:alpha val="70000"/>
                </a:srgbClr>
              </a:solidFill>
              <a:latin typeface="+mj-lt"/>
              <a:ea typeface="+mn-ea"/>
              <a:cs typeface="+mn-cs"/>
            </a:endParaRPr>
          </a:p>
        </xdr:txBody>
      </xdr:sp>
      <xdr:sp macro="" textlink="">
        <xdr:nvSpPr>
          <xdr:cNvPr id="64" name="TextBox 63">
            <a:extLst>
              <a:ext uri="{FF2B5EF4-FFF2-40B4-BE49-F238E27FC236}">
                <a16:creationId xmlns:a16="http://schemas.microsoft.com/office/drawing/2014/main" id="{E8B0911C-89F6-4607-B190-C8D06A206918}"/>
              </a:ext>
            </a:extLst>
          </xdr:cNvPr>
          <xdr:cNvSpPr txBox="1"/>
        </xdr:nvSpPr>
        <xdr:spPr>
          <a:xfrm>
            <a:off x="1438984" y="1014413"/>
            <a:ext cx="1057275"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alpha val="80000"/>
                  </a:schemeClr>
                </a:solidFill>
                <a:latin typeface="+mn-lt"/>
                <a:ea typeface="+mn-ea"/>
                <a:cs typeface="+mn-cs"/>
              </a:rPr>
              <a:t># of Books</a:t>
            </a:r>
            <a:endParaRPr lang="en-NG" sz="1400">
              <a:solidFill>
                <a:schemeClr val="bg1">
                  <a:alpha val="80000"/>
                </a:schemeClr>
              </a:solidFill>
              <a:latin typeface="+mn-lt"/>
              <a:ea typeface="+mn-ea"/>
              <a:cs typeface="+mn-cs"/>
            </a:endParaRPr>
          </a:p>
        </xdr:txBody>
      </xdr:sp>
      <xdr:sp macro="" textlink="">
        <xdr:nvSpPr>
          <xdr:cNvPr id="65" name="TextBox 64">
            <a:extLst>
              <a:ext uri="{FF2B5EF4-FFF2-40B4-BE49-F238E27FC236}">
                <a16:creationId xmlns:a16="http://schemas.microsoft.com/office/drawing/2014/main" id="{F559078F-1CED-4D59-94F4-E871A2C67B15}"/>
              </a:ext>
            </a:extLst>
          </xdr:cNvPr>
          <xdr:cNvSpPr txBox="1"/>
        </xdr:nvSpPr>
        <xdr:spPr>
          <a:xfrm>
            <a:off x="1306468" y="567210"/>
            <a:ext cx="4010820" cy="30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5F5F5F">
                    <a:alpha val="70000"/>
                  </a:srgbClr>
                </a:solidFill>
                <a:latin typeface="+mj-lt"/>
                <a:ea typeface="+mn-ea"/>
                <a:cs typeface="+mn-cs"/>
              </a:rPr>
              <a:t>Personal</a:t>
            </a:r>
            <a:r>
              <a:rPr lang="en-GB" sz="1800" b="1" baseline="0">
                <a:solidFill>
                  <a:srgbClr val="5F5F5F">
                    <a:alpha val="70000"/>
                  </a:srgbClr>
                </a:solidFill>
                <a:latin typeface="+mj-lt"/>
                <a:ea typeface="+mn-ea"/>
                <a:cs typeface="+mn-cs"/>
              </a:rPr>
              <a:t> Book Reading Insights (Dec 2024 - Sept 2025)</a:t>
            </a:r>
            <a:endParaRPr lang="en-NG" sz="1800" b="1">
              <a:solidFill>
                <a:srgbClr val="5F5F5F">
                  <a:alpha val="70000"/>
                </a:srgbClr>
              </a:solidFill>
              <a:latin typeface="+mj-lt"/>
              <a:ea typeface="+mn-ea"/>
              <a:cs typeface="+mn-cs"/>
            </a:endParaRPr>
          </a:p>
        </xdr:txBody>
      </xdr:sp>
      <xdr:sp macro="" textlink="total_pages">
        <xdr:nvSpPr>
          <xdr:cNvPr id="69" name="TextBox 68">
            <a:extLst>
              <a:ext uri="{FF2B5EF4-FFF2-40B4-BE49-F238E27FC236}">
                <a16:creationId xmlns:a16="http://schemas.microsoft.com/office/drawing/2014/main" id="{F32E765C-C705-499E-BA99-370F16E89AA7}"/>
              </a:ext>
            </a:extLst>
          </xdr:cNvPr>
          <xdr:cNvSpPr txBox="1"/>
        </xdr:nvSpPr>
        <xdr:spPr>
          <a:xfrm>
            <a:off x="1621489" y="2208527"/>
            <a:ext cx="1237276" cy="493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F9CCBC-7378-4BCC-8257-42FCFA504FF6}" type="TxLink">
              <a:rPr lang="en-US" sz="2800" b="1" i="0" u="none" strike="noStrike">
                <a:solidFill>
                  <a:srgbClr val="FFFFFF">
                    <a:alpha val="60000"/>
                  </a:srgbClr>
                </a:solidFill>
                <a:latin typeface="+mn-lt"/>
                <a:ea typeface="Calibri"/>
                <a:cs typeface="Calibri"/>
              </a:rPr>
              <a:pPr marL="0" indent="0" algn="ctr"/>
              <a:t> 4,392 </a:t>
            </a:fld>
            <a:endParaRPr lang="en-NG" sz="2800" b="1" i="0" u="none" strike="noStrike">
              <a:solidFill>
                <a:srgbClr val="FFFFFF">
                  <a:alpha val="60000"/>
                </a:srgbClr>
              </a:solidFill>
              <a:latin typeface="+mn-lt"/>
              <a:ea typeface="Calibri"/>
              <a:cs typeface="Calibri"/>
            </a:endParaRPr>
          </a:p>
        </xdr:txBody>
      </xdr:sp>
      <xdr:sp macro="" textlink="total">
        <xdr:nvSpPr>
          <xdr:cNvPr id="70" name="TextBox 69">
            <a:extLst>
              <a:ext uri="{FF2B5EF4-FFF2-40B4-BE49-F238E27FC236}">
                <a16:creationId xmlns:a16="http://schemas.microsoft.com/office/drawing/2014/main" id="{3590FE7E-9822-4AE8-AF4C-6C033E8F2E64}"/>
              </a:ext>
            </a:extLst>
          </xdr:cNvPr>
          <xdr:cNvSpPr txBox="1"/>
        </xdr:nvSpPr>
        <xdr:spPr>
          <a:xfrm>
            <a:off x="1393031" y="1263489"/>
            <a:ext cx="1595438"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18E4C-44D7-4024-B61D-1AE2E84AD0FB}" type="TxLink">
              <a:rPr lang="en-US" sz="2800" b="1" i="0" u="none" strike="noStrike">
                <a:solidFill>
                  <a:srgbClr val="FFFFFF">
                    <a:alpha val="60000"/>
                  </a:srgbClr>
                </a:solidFill>
                <a:latin typeface="+mn-lt"/>
                <a:ea typeface="Calibri"/>
                <a:cs typeface="Calibri"/>
              </a:rPr>
              <a:pPr algn="ctr"/>
              <a:t>27</a:t>
            </a:fld>
            <a:endParaRPr lang="en-NG" sz="7200" b="1">
              <a:solidFill>
                <a:srgbClr val="FFFFFF">
                  <a:alpha val="60000"/>
                </a:srgbClr>
              </a:solidFill>
              <a:latin typeface="+mn-lt"/>
            </a:endParaRPr>
          </a:p>
        </xdr:txBody>
      </xdr:sp>
      <xdr:graphicFrame macro="">
        <xdr:nvGraphicFramePr>
          <xdr:cNvPr id="25" name="Chart 24">
            <a:extLst>
              <a:ext uri="{FF2B5EF4-FFF2-40B4-BE49-F238E27FC236}">
                <a16:creationId xmlns:a16="http://schemas.microsoft.com/office/drawing/2014/main" id="{64C9DBEA-09ED-45E0-9479-2A013107F02A}"/>
              </a:ext>
            </a:extLst>
          </xdr:cNvPr>
          <xdr:cNvGraphicFramePr>
            <a:graphicFrameLocks/>
          </xdr:cNvGraphicFramePr>
        </xdr:nvGraphicFramePr>
        <xdr:xfrm>
          <a:off x="3134929" y="918959"/>
          <a:ext cx="5569565" cy="207642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7" name="Chart 26">
            <a:extLst>
              <a:ext uri="{FF2B5EF4-FFF2-40B4-BE49-F238E27FC236}">
                <a16:creationId xmlns:a16="http://schemas.microsoft.com/office/drawing/2014/main" id="{13F54983-06BA-4D33-B7C9-FFF250D3CC64}"/>
              </a:ext>
            </a:extLst>
          </xdr:cNvPr>
          <xdr:cNvGraphicFramePr>
            <a:graphicFrameLocks/>
          </xdr:cNvGraphicFramePr>
        </xdr:nvGraphicFramePr>
        <xdr:xfrm>
          <a:off x="1286131" y="3298031"/>
          <a:ext cx="1690431" cy="190692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9" name="Chart 28">
            <a:extLst>
              <a:ext uri="{FF2B5EF4-FFF2-40B4-BE49-F238E27FC236}">
                <a16:creationId xmlns:a16="http://schemas.microsoft.com/office/drawing/2014/main" id="{F98C6408-4F0B-42E3-B00A-DFA5E3F370AE}"/>
              </a:ext>
            </a:extLst>
          </xdr:cNvPr>
          <xdr:cNvGraphicFramePr>
            <a:graphicFrameLocks/>
          </xdr:cNvGraphicFramePr>
        </xdr:nvGraphicFramePr>
        <xdr:xfrm>
          <a:off x="3113549" y="3167062"/>
          <a:ext cx="5613731" cy="209742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1" name="Chart 30">
            <a:extLst>
              <a:ext uri="{FF2B5EF4-FFF2-40B4-BE49-F238E27FC236}">
                <a16:creationId xmlns:a16="http://schemas.microsoft.com/office/drawing/2014/main" id="{7492ABE2-8CAD-4C04-A249-526ED8BBC1BB}"/>
              </a:ext>
            </a:extLst>
          </xdr:cNvPr>
          <xdr:cNvGraphicFramePr>
            <a:graphicFrameLocks/>
          </xdr:cNvGraphicFramePr>
        </xdr:nvGraphicFramePr>
        <xdr:xfrm>
          <a:off x="9128764" y="3150420"/>
          <a:ext cx="2459602" cy="2105741"/>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15" name="Picture 14">
            <a:extLst>
              <a:ext uri="{FF2B5EF4-FFF2-40B4-BE49-F238E27FC236}">
                <a16:creationId xmlns:a16="http://schemas.microsoft.com/office/drawing/2014/main" id="{02A409BD-9FF9-4781-9319-8D3930CA51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59584" y="981036"/>
            <a:ext cx="2056864" cy="1926930"/>
          </a:xfrm>
          <a:prstGeom prst="ellipse">
            <a:avLst/>
          </a:prstGeom>
          <a:solidFill>
            <a:srgbClr val="34B6F5"/>
          </a:solidFill>
          <a:ln>
            <a:noFill/>
          </a:ln>
          <a:effectLst>
            <a:softEdge rad="112500"/>
          </a:effectLst>
        </xdr:spPr>
      </xdr:pic>
    </xdr:grpSp>
    <xdr:clientData/>
  </xdr:twoCellAnchor>
  <xdr:twoCellAnchor>
    <xdr:from>
      <xdr:col>21</xdr:col>
      <xdr:colOff>176893</xdr:colOff>
      <xdr:row>6</xdr:row>
      <xdr:rowOff>149679</xdr:rowOff>
    </xdr:from>
    <xdr:to>
      <xdr:col>27</xdr:col>
      <xdr:colOff>326572</xdr:colOff>
      <xdr:row>20</xdr:row>
      <xdr:rowOff>40821</xdr:rowOff>
    </xdr:to>
    <xdr:graphicFrame macro="">
      <xdr:nvGraphicFramePr>
        <xdr:cNvPr id="32" name="Chart 31">
          <a:extLst>
            <a:ext uri="{FF2B5EF4-FFF2-40B4-BE49-F238E27FC236}">
              <a16:creationId xmlns:a16="http://schemas.microsoft.com/office/drawing/2014/main" id="{DE7F8293-0B0E-45C4-B6AE-928EED7DA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0.44798</cdr:x>
      <cdr:y>0.48711</cdr:y>
    </cdr:from>
    <cdr:to>
      <cdr:x>0.68649</cdr:x>
      <cdr:y>0.65836</cdr:y>
    </cdr:to>
    <cdr:sp macro="" textlink="">
      <cdr:nvSpPr>
        <cdr:cNvPr id="2" name="TextBox 1">
          <a:extLst xmlns:a="http://schemas.openxmlformats.org/drawingml/2006/main">
            <a:ext uri="{FF2B5EF4-FFF2-40B4-BE49-F238E27FC236}">
              <a16:creationId xmlns:a16="http://schemas.microsoft.com/office/drawing/2014/main" id="{D7ECF65D-9BF5-49D1-BDBC-46B253DDBE16}"/>
            </a:ext>
          </a:extLst>
        </cdr:cNvPr>
        <cdr:cNvSpPr txBox="1"/>
      </cdr:nvSpPr>
      <cdr:spPr>
        <a:xfrm xmlns:a="http://schemas.openxmlformats.org/drawingml/2006/main">
          <a:off x="2504665" y="1011441"/>
          <a:ext cx="1333500" cy="355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0.46388</cdr:x>
      <cdr:y>0.40148</cdr:y>
    </cdr:from>
    <cdr:to>
      <cdr:x>0.68649</cdr:x>
      <cdr:y>0.59108</cdr:y>
    </cdr:to>
    <cdr:sp macro="" textlink="">
      <cdr:nvSpPr>
        <cdr:cNvPr id="3" name="TextBox 2">
          <a:extLst xmlns:a="http://schemas.openxmlformats.org/drawingml/2006/main">
            <a:ext uri="{FF2B5EF4-FFF2-40B4-BE49-F238E27FC236}">
              <a16:creationId xmlns:a16="http://schemas.microsoft.com/office/drawing/2014/main" id="{1865C91E-0D05-45A7-8D22-EFEF7574F1F2}"/>
            </a:ext>
          </a:extLst>
        </cdr:cNvPr>
        <cdr:cNvSpPr txBox="1"/>
      </cdr:nvSpPr>
      <cdr:spPr>
        <a:xfrm xmlns:a="http://schemas.openxmlformats.org/drawingml/2006/main">
          <a:off x="2593565" y="833641"/>
          <a:ext cx="1244600" cy="393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400">
              <a:solidFill>
                <a:srgbClr val="5F5F5F">
                  <a:alpha val="70000"/>
                </a:srgbClr>
              </a:solidFill>
              <a:latin typeface="+mj-lt"/>
            </a:rPr>
            <a:t>GBILE AKANNI</a:t>
          </a:r>
          <a:endParaRPr lang="en-NG" sz="1400">
            <a:solidFill>
              <a:srgbClr val="5F5F5F">
                <a:alpha val="70000"/>
              </a:srgbClr>
            </a:solidFill>
            <a:latin typeface="+mj-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5.848475347222" createdVersion="7" refreshedVersion="7" minRefreshableVersion="3" recordCount="27" xr:uid="{977FC3E7-7196-447D-8066-3935347043AF}">
  <cacheSource type="worksheet">
    <worksheetSource name="Table3"/>
  </cacheSource>
  <cacheFields count="12">
    <cacheField name="S/N" numFmtId="0">
      <sharedItems containsSemiMixedTypes="0" containsString="0" containsNumber="1" containsInteger="1" minValue="1" maxValue="27"/>
    </cacheField>
    <cacheField name="Month" numFmtId="164">
      <sharedItems containsSemiMixedTypes="0" containsNonDate="0" containsDate="1" containsString="0" minDate="2024-12-01T00:00:00" maxDate="2025-12-03T00:00:00" count="15">
        <d v="2024-12-01T00:00:00"/>
        <d v="2025-01-01T00:00:00"/>
        <d v="2025-02-01T00:00:00"/>
        <d v="2025-03-01T00:00:00"/>
        <d v="2025-04-01T00:00:00"/>
        <d v="2025-06-01T00:00:00"/>
        <d v="2025-07-01T00:00:00"/>
        <d v="2025-08-01T00:00:00"/>
        <d v="2025-09-01T00:00:00"/>
        <d v="2025-09-02T00:00:00"/>
        <d v="2025-10-03T00:00:00"/>
        <d v="2025-10-04T00:00:00"/>
        <d v="2025-10-05T00:00:00"/>
        <d v="2025-12-01T00:00:00"/>
        <d v="2025-12-02T00:00:00"/>
      </sharedItems>
      <fieldGroup par="11" base="1">
        <rangePr groupBy="months" startDate="2024-12-01T00:00:00" endDate="2025-12-03T00:00:00"/>
        <groupItems count="14">
          <s v="&lt;01/12/2024"/>
          <s v="Jan"/>
          <s v="Feb"/>
          <s v="Mar"/>
          <s v="Apr"/>
          <s v="May"/>
          <s v="Jun"/>
          <s v="Jul"/>
          <s v="Aug"/>
          <s v="Sept"/>
          <s v="Oct"/>
          <s v="Nov"/>
          <s v="Dec"/>
          <s v="&gt;03/12/2025"/>
        </groupItems>
      </fieldGroup>
    </cacheField>
    <cacheField name="Year" numFmtId="17">
      <sharedItems containsSemiMixedTypes="0" containsNonDate="0" containsDate="1" containsString="0" minDate="2024-12-16T00:00:00" maxDate="2025-12-17T00:00:00" count="11">
        <d v="2024-12-16T00:00:00"/>
        <d v="2025-01-16T00:00:00"/>
        <d v="2025-02-16T00:00:00"/>
        <d v="2025-03-16T00:00:00"/>
        <d v="2025-04-16T00:00:00"/>
        <d v="2025-06-16T00:00:00"/>
        <d v="2025-07-16T00:00:00"/>
        <d v="2025-08-16T00:00:00"/>
        <d v="2025-09-16T00:00:00"/>
        <d v="2025-10-16T00:00:00"/>
        <d v="2025-12-16T00:00:00"/>
      </sharedItems>
    </cacheField>
    <cacheField name="Name Of The Book" numFmtId="0">
      <sharedItems count="27">
        <s v="100 Bible Lessons "/>
        <s v="In His Steps"/>
        <s v="The Divinity Code To Understanding Your Dreams "/>
        <s v="Know Your Enemies Watch Your Friends "/>
        <s v="The Spiritual Man (Vol One)"/>
        <s v="Tough Times Never Last But Tough People Do "/>
        <s v="Spiritual Authority"/>
        <s v="He Leads Me "/>
        <s v="Preaching - Pure And Simple "/>
        <s v="Guidepost To Revival "/>
        <s v="Go Not The Way Of Balaam "/>
        <s v="Marriage Today "/>
        <s v="Ruled By The Spirit "/>
        <s v="Joseph The Dreamer- I Can't Do It But God Can "/>
        <s v="The Fire Of Delayed Answers "/>
        <s v="The Clarion Call"/>
        <s v="John The Baptist, The Early Church And Us - Where Did We Go  Wrong? "/>
        <s v="Power Through Prayer "/>
        <s v="Raising Agent Of Transformation "/>
        <s v="The Womb Of The Morning "/>
        <s v="Understanding How To Fight The Good Fight Of Faith"/>
        <s v="Changed Into His Likeness"/>
        <s v="Why Revival Tarries"/>
        <s v="Wisdom for Leaders"/>
        <s v="Timely Warning"/>
        <s v="When the Heavens are closed"/>
        <s v="Successful Nigerian Entrepreneurs"/>
      </sharedItems>
    </cacheField>
    <cacheField name="Author" numFmtId="0">
      <sharedItems count="20">
        <s v="Dr Alban &amp; W.D Kennedy"/>
        <s v="Charles M. Sheldon"/>
        <s v="Adam F. Thompson &amp; Andrain Beale"/>
        <s v="Iyke Nathan Uzorma "/>
        <s v="Watcham Nee"/>
        <s v="Robert H. Schuller"/>
        <s v="Gbile Akanni"/>
        <s v="Stuart Olyott"/>
        <s v="Rufus &amp; Mary Owoade "/>
        <s v="Basilea Schlink"/>
        <s v="Tom Glover"/>
        <s v="Bob Sorge "/>
        <s v="Tokunbo Salami"/>
        <s v="Mathew Owojaiye "/>
        <s v="Edward Bounds (Em Bounds)"/>
        <s v="Ameh Amana "/>
        <s v="Kenneth Hagin"/>
        <s v="Leonard  Ravenhill"/>
        <s v="Dag Heward-mills"/>
        <s v="Fed. Min. of Finance"/>
      </sharedItems>
    </cacheField>
    <cacheField name="Number of Pages" numFmtId="0">
      <sharedItems containsSemiMixedTypes="0" containsString="0" containsNumber="1" containsInteger="1" minValue="27" maxValue="401"/>
    </cacheField>
    <cacheField name="Book Type" numFmtId="0">
      <sharedItems count="2">
        <s v="Hard Copy"/>
        <s v="Soft Copy"/>
      </sharedItems>
    </cacheField>
    <cacheField name="Owned/Borrowed" numFmtId="0">
      <sharedItems count="3">
        <s v="Borrowed"/>
        <s v="Owned"/>
        <s v="Owner" u="1"/>
      </sharedItems>
    </cacheField>
    <cacheField name="Personal Ratings" numFmtId="0">
      <sharedItems containsSemiMixedTypes="0" containsString="0" containsNumber="1" containsInteger="1" minValue="2" maxValue="5" count="4">
        <n v="5"/>
        <n v="3"/>
        <n v="2"/>
        <n v="4"/>
      </sharedItems>
    </cacheField>
    <cacheField name="Nationality" numFmtId="0">
      <sharedItems/>
    </cacheField>
    <cacheField name="Quarters" numFmtId="0" databaseField="0">
      <fieldGroup base="1">
        <rangePr groupBy="quarters" startDate="2024-12-01T00:00:00" endDate="2025-12-03T00:00:00"/>
        <groupItems count="6">
          <s v="&lt;01/12/2024"/>
          <s v="Qtr1"/>
          <s v="Qtr2"/>
          <s v="Qtr3"/>
          <s v="Qtr4"/>
          <s v="&gt;03/12/2025"/>
        </groupItems>
      </fieldGroup>
    </cacheField>
    <cacheField name="Years" numFmtId="0" databaseField="0">
      <fieldGroup base="1">
        <rangePr groupBy="years" startDate="2024-12-01T00:00:00" endDate="2025-12-03T00:00:00"/>
        <groupItems count="4">
          <s v="&lt;01/12/2024"/>
          <s v="2024"/>
          <s v="2025"/>
          <s v="&gt;03/12/2025"/>
        </groupItems>
      </fieldGroup>
    </cacheField>
  </cacheFields>
  <extLst>
    <ext xmlns:x14="http://schemas.microsoft.com/office/spreadsheetml/2009/9/main" uri="{725AE2AE-9491-48be-B2B4-4EB974FC3084}">
      <x14:pivotCacheDefinition pivotCacheId="557050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
    <x v="0"/>
    <x v="0"/>
    <x v="0"/>
    <x v="0"/>
    <n v="304"/>
    <x v="0"/>
    <x v="0"/>
    <x v="0"/>
    <s v="Canada"/>
  </r>
  <r>
    <n v="2"/>
    <x v="0"/>
    <x v="0"/>
    <x v="1"/>
    <x v="1"/>
    <n v="401"/>
    <x v="0"/>
    <x v="1"/>
    <x v="0"/>
    <s v="USA"/>
  </r>
  <r>
    <n v="3"/>
    <x v="0"/>
    <x v="0"/>
    <x v="2"/>
    <x v="2"/>
    <n v="179"/>
    <x v="1"/>
    <x v="1"/>
    <x v="1"/>
    <s v="Australia"/>
  </r>
  <r>
    <n v="4"/>
    <x v="1"/>
    <x v="1"/>
    <x v="3"/>
    <x v="3"/>
    <n v="160"/>
    <x v="0"/>
    <x v="0"/>
    <x v="2"/>
    <s v="Nigeria"/>
  </r>
  <r>
    <n v="5"/>
    <x v="1"/>
    <x v="1"/>
    <x v="4"/>
    <x v="4"/>
    <n v="164"/>
    <x v="0"/>
    <x v="0"/>
    <x v="0"/>
    <s v="China"/>
  </r>
  <r>
    <n v="6"/>
    <x v="1"/>
    <x v="1"/>
    <x v="5"/>
    <x v="5"/>
    <n v="240"/>
    <x v="0"/>
    <x v="0"/>
    <x v="2"/>
    <s v="USA"/>
  </r>
  <r>
    <n v="7"/>
    <x v="1"/>
    <x v="1"/>
    <x v="6"/>
    <x v="4"/>
    <n v="192"/>
    <x v="0"/>
    <x v="0"/>
    <x v="3"/>
    <s v="China"/>
  </r>
  <r>
    <n v="8"/>
    <x v="2"/>
    <x v="2"/>
    <x v="7"/>
    <x v="6"/>
    <n v="160"/>
    <x v="0"/>
    <x v="0"/>
    <x v="0"/>
    <s v="Nigeria"/>
  </r>
  <r>
    <n v="9"/>
    <x v="2"/>
    <x v="2"/>
    <x v="8"/>
    <x v="7"/>
    <n v="188"/>
    <x v="0"/>
    <x v="0"/>
    <x v="3"/>
    <s v="United Kingdom"/>
  </r>
  <r>
    <n v="10"/>
    <x v="3"/>
    <x v="3"/>
    <x v="9"/>
    <x v="6"/>
    <n v="88"/>
    <x v="0"/>
    <x v="1"/>
    <x v="3"/>
    <s v="Nigeria"/>
  </r>
  <r>
    <n v="11"/>
    <x v="3"/>
    <x v="3"/>
    <x v="10"/>
    <x v="6"/>
    <n v="155"/>
    <x v="0"/>
    <x v="1"/>
    <x v="0"/>
    <s v="Nigeria"/>
  </r>
  <r>
    <n v="12"/>
    <x v="3"/>
    <x v="3"/>
    <x v="11"/>
    <x v="8"/>
    <n v="160"/>
    <x v="0"/>
    <x v="1"/>
    <x v="3"/>
    <s v="Nigeria"/>
  </r>
  <r>
    <n v="13"/>
    <x v="4"/>
    <x v="4"/>
    <x v="12"/>
    <x v="9"/>
    <n v="130"/>
    <x v="0"/>
    <x v="1"/>
    <x v="3"/>
    <s v="Germany"/>
  </r>
  <r>
    <n v="14"/>
    <x v="4"/>
    <x v="4"/>
    <x v="13"/>
    <x v="10"/>
    <n v="142"/>
    <x v="0"/>
    <x v="0"/>
    <x v="3"/>
    <s v="United Kingdom"/>
  </r>
  <r>
    <n v="15"/>
    <x v="5"/>
    <x v="5"/>
    <x v="14"/>
    <x v="11"/>
    <n v="231"/>
    <x v="0"/>
    <x v="0"/>
    <x v="3"/>
    <s v="USA"/>
  </r>
  <r>
    <n v="16"/>
    <x v="5"/>
    <x v="5"/>
    <x v="15"/>
    <x v="12"/>
    <n v="54"/>
    <x v="0"/>
    <x v="1"/>
    <x v="1"/>
    <s v="Nigeria"/>
  </r>
  <r>
    <n v="17"/>
    <x v="5"/>
    <x v="5"/>
    <x v="16"/>
    <x v="13"/>
    <n v="150"/>
    <x v="0"/>
    <x v="1"/>
    <x v="3"/>
    <s v="Nigeria"/>
  </r>
  <r>
    <n v="18"/>
    <x v="6"/>
    <x v="6"/>
    <x v="17"/>
    <x v="14"/>
    <n v="60"/>
    <x v="1"/>
    <x v="1"/>
    <x v="0"/>
    <s v="USA"/>
  </r>
  <r>
    <n v="19"/>
    <x v="7"/>
    <x v="7"/>
    <x v="18"/>
    <x v="6"/>
    <n v="318"/>
    <x v="0"/>
    <x v="1"/>
    <x v="3"/>
    <s v="Nigeria"/>
  </r>
  <r>
    <n v="20"/>
    <x v="8"/>
    <x v="8"/>
    <x v="19"/>
    <x v="15"/>
    <n v="27"/>
    <x v="0"/>
    <x v="1"/>
    <x v="3"/>
    <s v="Nigeria"/>
  </r>
  <r>
    <n v="21"/>
    <x v="8"/>
    <x v="8"/>
    <x v="20"/>
    <x v="16"/>
    <n v="129"/>
    <x v="0"/>
    <x v="1"/>
    <x v="1"/>
    <s v="USA"/>
  </r>
  <r>
    <n v="22"/>
    <x v="9"/>
    <x v="8"/>
    <x v="21"/>
    <x v="4"/>
    <n v="176"/>
    <x v="0"/>
    <x v="0"/>
    <x v="3"/>
    <s v="China"/>
  </r>
  <r>
    <n v="23"/>
    <x v="10"/>
    <x v="9"/>
    <x v="22"/>
    <x v="17"/>
    <n v="144"/>
    <x v="0"/>
    <x v="0"/>
    <x v="0"/>
    <s v="United Kingdom"/>
  </r>
  <r>
    <n v="24"/>
    <x v="11"/>
    <x v="9"/>
    <x v="23"/>
    <x v="18"/>
    <n v="31"/>
    <x v="1"/>
    <x v="1"/>
    <x v="3"/>
    <s v="United Kingdom"/>
  </r>
  <r>
    <n v="25"/>
    <x v="12"/>
    <x v="9"/>
    <x v="24"/>
    <x v="6"/>
    <n v="36"/>
    <x v="0"/>
    <x v="1"/>
    <x v="3"/>
    <s v="Nigeria"/>
  </r>
  <r>
    <n v="26"/>
    <x v="13"/>
    <x v="10"/>
    <x v="25"/>
    <x v="6"/>
    <n v="188"/>
    <x v="0"/>
    <x v="1"/>
    <x v="3"/>
    <s v="Nigeria"/>
  </r>
  <r>
    <n v="27"/>
    <x v="14"/>
    <x v="10"/>
    <x v="26"/>
    <x v="19"/>
    <n v="185"/>
    <x v="0"/>
    <x v="1"/>
    <x v="1"/>
    <s v="Niger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EB254-786E-46E1-87D3-F57CBD815196}" name="PivotTable6"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Months">
  <location ref="A53:C64" firstHeaderRow="0" firstDataRow="1" firstDataCol="1"/>
  <pivotFields count="12">
    <pivotField showAll="0"/>
    <pivotField numFmtId="164" showAll="0" sortType="descending">
      <items count="15">
        <item x="12"/>
        <item x="0"/>
        <item x="1"/>
        <item x="2"/>
        <item x="3"/>
        <item x="4"/>
        <item x="5"/>
        <item x="6"/>
        <item x="7"/>
        <item x="8"/>
        <item x="9"/>
        <item x="10"/>
        <item x="11"/>
        <item x="13"/>
        <item t="default"/>
      </items>
      <autoSortScope>
        <pivotArea dataOnly="0" outline="0" fieldPosition="0">
          <references count="1">
            <reference field="4294967294" count="1" selected="0">
              <x v="1"/>
            </reference>
          </references>
        </pivotArea>
      </autoSortScope>
    </pivotField>
    <pivotField axis="axisRow" numFmtId="1" showAll="0" sortType="descending">
      <items count="12">
        <item x="0"/>
        <item x="1"/>
        <item x="2"/>
        <item x="3"/>
        <item x="4"/>
        <item x="5"/>
        <item x="6"/>
        <item x="7"/>
        <item x="8"/>
        <item x="9"/>
        <item x="10"/>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pivotField showAll="0"/>
    <pivotField showAll="0"/>
    <pivotField showAll="0">
      <items count="7">
        <item sd="0" x="0"/>
        <item sd="0" x="1"/>
        <item sd="0" x="2"/>
        <item sd="0" x="3"/>
        <item sd="0" x="4"/>
        <item x="5"/>
        <item t="default"/>
      </items>
    </pivotField>
    <pivotField showAll="0">
      <items count="5">
        <item sd="0" x="0"/>
        <item sd="0" x="1"/>
        <item sd="0" x="2"/>
        <item x="3"/>
        <item t="default"/>
      </items>
    </pivotField>
  </pivotFields>
  <rowFields count="1">
    <field x="2"/>
  </rowFields>
  <rowItems count="11">
    <i>
      <x/>
    </i>
    <i>
      <x v="1"/>
    </i>
    <i>
      <x v="5"/>
    </i>
    <i>
      <x v="3"/>
    </i>
    <i>
      <x v="10"/>
    </i>
    <i>
      <x v="2"/>
    </i>
    <i>
      <x v="8"/>
    </i>
    <i>
      <x v="7"/>
    </i>
    <i>
      <x v="4"/>
    </i>
    <i>
      <x v="9"/>
    </i>
    <i>
      <x v="6"/>
    </i>
  </rowItems>
  <colFields count="1">
    <field x="-2"/>
  </colFields>
  <colItems count="2">
    <i>
      <x/>
    </i>
    <i i="1">
      <x v="1"/>
    </i>
  </colItems>
  <dataFields count="2">
    <dataField name="Numbers of Books" fld="3" subtotal="count" baseField="0" baseItem="0"/>
    <dataField name="Total Pages" fld="5" baseField="0" baseItem="0"/>
  </dataFields>
  <formats count="11">
    <format dxfId="1">
      <pivotArea type="all" dataOnly="0" outline="0" fieldPosition="0"/>
    </format>
    <format dxfId="2">
      <pivotArea outline="0" collapsedLevelsAreSubtotals="1" fieldPosition="0"/>
    </format>
    <format dxfId="3">
      <pivotArea dataOnly="0" labelOnly="1" outline="0" axis="axisValues" fieldPosition="0"/>
    </format>
    <format dxfId="4">
      <pivotArea field="1" type="button" dataOnly="0" labelOnly="1" outline="0"/>
    </format>
    <format dxfId="5">
      <pivotArea dataOnly="0" labelOnly="1" outline="0" fieldPosition="0">
        <references count="1">
          <reference field="4294967294" count="2">
            <x v="0"/>
            <x v="1"/>
          </reference>
        </references>
      </pivotArea>
    </format>
    <format dxfId="6">
      <pivotArea type="all" dataOnly="0" outline="0" fieldPosition="0"/>
    </format>
    <format dxfId="7">
      <pivotArea outline="0" collapsedLevelsAreSubtotals="1" fieldPosition="0"/>
    </format>
    <format dxfId="8">
      <pivotArea field="1" type="button" dataOnly="0" labelOnly="1" outline="0"/>
    </format>
    <format dxfId="9">
      <pivotArea dataOnly="0" labelOnly="1" outline="0" fieldPosition="0">
        <references count="1">
          <reference field="4294967294" count="2">
            <x v="0"/>
            <x v="1"/>
          </reference>
        </references>
      </pivotArea>
    </format>
    <format dxfId="10">
      <pivotArea dataOnly="0" labelOnly="1" fieldPosition="0">
        <references count="1">
          <reference field="2" count="0"/>
        </references>
      </pivotArea>
    </format>
    <format dxfId="0">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4314F-0F81-439E-92C5-07F412F571BF}" name="PivotTable4"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0" rowHeaderCaption="Books">
  <location ref="A20:B27" firstHeaderRow="1" firstDataRow="1" firstDataCol="1" rowPageCount="1" colPageCount="1"/>
  <pivotFields count="12">
    <pivotField showAll="0"/>
    <pivotField numFmtId="164" showAll="0">
      <items count="15">
        <item x="0"/>
        <item x="1"/>
        <item x="2"/>
        <item x="3"/>
        <item x="4"/>
        <item x="5"/>
        <item x="6"/>
        <item x="7"/>
        <item x="8"/>
        <item x="9"/>
        <item x="10"/>
        <item x="11"/>
        <item x="12"/>
        <item x="13"/>
        <item t="default"/>
      </items>
    </pivotField>
    <pivotField numFmtId="1" showAll="0"/>
    <pivotField axis="axisRow" showAll="0">
      <items count="28">
        <item x="0"/>
        <item x="21"/>
        <item x="10"/>
        <item x="9"/>
        <item x="7"/>
        <item x="1"/>
        <item x="16"/>
        <item x="13"/>
        <item x="3"/>
        <item x="11"/>
        <item x="17"/>
        <item x="8"/>
        <item x="18"/>
        <item x="12"/>
        <item x="6"/>
        <item x="15"/>
        <item x="2"/>
        <item x="14"/>
        <item x="4"/>
        <item x="19"/>
        <item x="5"/>
        <item x="20"/>
        <item x="22"/>
        <item x="23"/>
        <item x="24"/>
        <item x="25"/>
        <item x="26"/>
        <item t="default"/>
      </items>
    </pivotField>
    <pivotField showAll="0"/>
    <pivotField showAll="0"/>
    <pivotField showAll="0"/>
    <pivotField showAll="0"/>
    <pivotField axis="axisPage" dataField="1" showAll="0">
      <items count="5">
        <item x="2"/>
        <item x="1"/>
        <item x="3"/>
        <item x="0"/>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2"/>
    </i>
    <i>
      <x v="4"/>
    </i>
    <i>
      <x v="5"/>
    </i>
    <i>
      <x v="10"/>
    </i>
    <i>
      <x v="18"/>
    </i>
    <i>
      <x v="22"/>
    </i>
  </rowItems>
  <colItems count="1">
    <i/>
  </colItems>
  <pageFields count="1">
    <pageField fld="8" item="3" hier="-1"/>
  </pageFields>
  <dataFields count="1">
    <dataField name="Personal Rating" fld="8" baseField="0" baseItem="0"/>
  </dataFields>
  <formats count="10">
    <format dxfId="65">
      <pivotArea type="all" dataOnly="0" outline="0" fieldPosition="0"/>
    </format>
    <format dxfId="66">
      <pivotArea outline="0" collapsedLevelsAreSubtotals="1" fieldPosition="0"/>
    </format>
    <format dxfId="67">
      <pivotArea dataOnly="0" labelOnly="1" outline="0" axis="axisValues" fieldPosition="0"/>
    </format>
    <format dxfId="68">
      <pivotArea field="3" type="button" dataOnly="0" labelOnly="1" outline="0" axis="axisRow" fieldPosition="0"/>
    </format>
    <format dxfId="69">
      <pivotArea dataOnly="0" labelOnly="1" outline="0" axis="axisValues" fieldPosition="0"/>
    </format>
    <format dxfId="70">
      <pivotArea type="all" dataOnly="0" outline="0" fieldPosition="0"/>
    </format>
    <format dxfId="71">
      <pivotArea outline="0" collapsedLevelsAreSubtotals="1" fieldPosition="0"/>
    </format>
    <format dxfId="72">
      <pivotArea field="3" type="button" dataOnly="0" labelOnly="1" outline="0" axis="axisRow" fieldPosition="0"/>
    </format>
    <format dxfId="73">
      <pivotArea dataOnly="0" labelOnly="1" fieldPosition="0">
        <references count="1">
          <reference field="3" count="7">
            <x v="0"/>
            <x v="2"/>
            <x v="4"/>
            <x v="5"/>
            <x v="10"/>
            <x v="18"/>
            <x v="22"/>
          </reference>
        </references>
      </pivotArea>
    </format>
    <format dxfId="7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75CF9E-3B35-4BFC-BE3B-2CACC18BD2B8}" name="PivotTable9"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rowHeaderCaption="Ownership">
  <location ref="F8:G10" firstHeaderRow="1" firstDataRow="1" firstDataCol="1"/>
  <pivotFields count="12">
    <pivotField showAll="0"/>
    <pivotField numFmtId="164" showAll="0">
      <items count="15">
        <item x="0"/>
        <item x="1"/>
        <item x="2"/>
        <item x="3"/>
        <item x="4"/>
        <item x="5"/>
        <item x="6"/>
        <item x="7"/>
        <item x="8"/>
        <item x="9"/>
        <item x="10"/>
        <item x="11"/>
        <item x="12"/>
        <item x="13"/>
        <item t="default"/>
      </items>
    </pivotField>
    <pivotField numFmtId="1" showAll="0"/>
    <pivotField dataField="1" showAll="0"/>
    <pivotField showAll="0"/>
    <pivotField showAll="0"/>
    <pivotField showAll="0"/>
    <pivotField axis="axisRow" showAll="0">
      <items count="4">
        <item x="0"/>
        <item m="1" x="2"/>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7"/>
  </rowFields>
  <rowItems count="2">
    <i>
      <x/>
    </i>
    <i>
      <x v="2"/>
    </i>
  </rowItems>
  <colItems count="1">
    <i/>
  </colItems>
  <dataFields count="1">
    <dataField name="Total Number" fld="3" subtotal="count" baseField="0" baseItem="0"/>
  </dataFields>
  <formats count="11">
    <format dxfId="54">
      <pivotArea type="all" dataOnly="0" outline="0" fieldPosition="0"/>
    </format>
    <format dxfId="55">
      <pivotArea outline="0" collapsedLevelsAreSubtotals="1" fieldPosition="0"/>
    </format>
    <format dxfId="56">
      <pivotArea dataOnly="0" labelOnly="1" outline="0" axis="axisValues" fieldPosition="0"/>
    </format>
    <format dxfId="57">
      <pivotArea field="7" type="button" dataOnly="0" labelOnly="1" outline="0" axis="axisRow" fieldPosition="0"/>
    </format>
    <format dxfId="58">
      <pivotArea dataOnly="0" labelOnly="1" outline="0" axis="axisValues" fieldPosition="0"/>
    </format>
    <format dxfId="59">
      <pivotArea type="all" dataOnly="0" outline="0" fieldPosition="0"/>
    </format>
    <format dxfId="60">
      <pivotArea outline="0" collapsedLevelsAreSubtotals="1" fieldPosition="0"/>
    </format>
    <format dxfId="61">
      <pivotArea field="7" type="button" dataOnly="0" labelOnly="1" outline="0" axis="axisRow" fieldPosition="0"/>
    </format>
    <format dxfId="62">
      <pivotArea dataOnly="0" labelOnly="1" fieldPosition="0">
        <references count="1">
          <reference field="7" count="0"/>
        </references>
      </pivotArea>
    </format>
    <format dxfId="63">
      <pivotArea dataOnly="0" labelOnly="1" grandRow="1" outline="0" fieldPosition="0"/>
    </format>
    <format dxfId="64">
      <pivotArea dataOnly="0" labelOnly="1" outline="0" axis="axisValues"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591FC1-B0E5-4F85-B505-4A512D5B74F8}" name="PivotTable5"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rowHeaderCaption="Author">
  <location ref="A30:B31" firstHeaderRow="1" firstDataRow="1" firstDataCol="1"/>
  <pivotFields count="12">
    <pivotField showAll="0"/>
    <pivotField numFmtId="164" showAll="0">
      <items count="15">
        <item x="0"/>
        <item x="1"/>
        <item x="2"/>
        <item x="3"/>
        <item x="4"/>
        <item x="5"/>
        <item x="6"/>
        <item x="7"/>
        <item x="8"/>
        <item x="9"/>
        <item x="10"/>
        <item x="11"/>
        <item x="12"/>
        <item x="13"/>
        <item t="default"/>
      </items>
    </pivotField>
    <pivotField numFmtId="1" showAll="0"/>
    <pivotField dataField="1" showAll="0"/>
    <pivotField axis="axisRow" showAll="0" sortType="descending">
      <items count="21">
        <item h="1" x="4"/>
        <item h="1" x="10"/>
        <item h="1" x="12"/>
        <item h="1" x="7"/>
        <item h="1" x="8"/>
        <item h="1" x="5"/>
        <item h="1" x="13"/>
        <item h="1" x="16"/>
        <item h="1" x="3"/>
        <item x="6"/>
        <item h="1" x="14"/>
        <item h="1" x="0"/>
        <item h="1" x="1"/>
        <item h="1" x="11"/>
        <item h="1" x="9"/>
        <item h="1" x="15"/>
        <item h="1" x="2"/>
        <item h="1" x="17"/>
        <item h="1" x="18"/>
        <item h="1"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1">
    <i>
      <x v="9"/>
    </i>
  </rowItems>
  <colItems count="1">
    <i/>
  </colItems>
  <dataFields count="1">
    <dataField name="number of books" fld="3" subtotal="count" baseField="4" baseItem="9"/>
  </dataFields>
  <formats count="10">
    <format dxfId="44">
      <pivotArea type="all" dataOnly="0" outline="0" fieldPosition="0"/>
    </format>
    <format dxfId="45">
      <pivotArea outline="0" collapsedLevelsAreSubtotals="1" fieldPosition="0"/>
    </format>
    <format dxfId="46">
      <pivotArea dataOnly="0" labelOnly="1" outline="0" axis="axisValues" fieldPosition="0"/>
    </format>
    <format dxfId="47">
      <pivotArea field="4" type="button" dataOnly="0" labelOnly="1" outline="0" axis="axisRow" fieldPosition="0"/>
    </format>
    <format dxfId="48">
      <pivotArea dataOnly="0" labelOnly="1" outline="0" axis="axisValues" fieldPosition="0"/>
    </format>
    <format dxfId="49">
      <pivotArea type="all" dataOnly="0" outline="0" fieldPosition="0"/>
    </format>
    <format dxfId="50">
      <pivotArea outline="0" collapsedLevelsAreSubtotals="1" fieldPosition="0"/>
    </format>
    <format dxfId="51">
      <pivotArea field="4" type="button" dataOnly="0" labelOnly="1" outline="0" axis="axisRow" fieldPosition="0"/>
    </format>
    <format dxfId="52">
      <pivotArea dataOnly="0" labelOnly="1" fieldPosition="0">
        <references count="1">
          <reference field="4" count="0"/>
        </references>
      </pivotArea>
    </format>
    <format dxfId="5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70D0EA-2662-4F78-950B-B6E059F42C52}" name="PivotTable3"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rowHeaderCaption="Book Type">
  <location ref="A13:B15" firstHeaderRow="1" firstDataRow="1" firstDataCol="1"/>
  <pivotFields count="12">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axis="axisRow" dataField="1" showAll="0">
      <items count="3">
        <item x="0"/>
        <item x="1"/>
        <item t="default"/>
      </items>
    </pivotField>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2">
    <i>
      <x/>
    </i>
    <i>
      <x v="1"/>
    </i>
  </rowItems>
  <colItems count="1">
    <i/>
  </colItems>
  <dataFields count="1">
    <dataField name="Total Number" fld="6" subtotal="count" baseField="6" baseItem="0"/>
  </dataFields>
  <formats count="10">
    <format dxfId="34">
      <pivotArea type="all" dataOnly="0" outline="0" fieldPosition="0"/>
    </format>
    <format dxfId="35">
      <pivotArea outline="0" collapsedLevelsAreSubtotals="1" fieldPosition="0"/>
    </format>
    <format dxfId="36">
      <pivotArea dataOnly="0" labelOnly="1" outline="0" axis="axisValues" fieldPosition="0"/>
    </format>
    <format dxfId="37">
      <pivotArea field="6" type="button" dataOnly="0" labelOnly="1" outline="0" axis="axisRow" fieldPosition="0"/>
    </format>
    <format dxfId="38">
      <pivotArea dataOnly="0" labelOnly="1" outline="0" axis="axisValues" fieldPosition="0"/>
    </format>
    <format dxfId="39">
      <pivotArea type="all" dataOnly="0" outline="0" fieldPosition="0"/>
    </format>
    <format dxfId="40">
      <pivotArea outline="0" collapsedLevelsAreSubtotals="1" fieldPosition="0"/>
    </format>
    <format dxfId="41">
      <pivotArea field="6" type="button" dataOnly="0" labelOnly="1" outline="0" axis="axisRow" fieldPosition="0"/>
    </format>
    <format dxfId="42">
      <pivotArea dataOnly="0" labelOnly="1" fieldPosition="0">
        <references count="1">
          <reference field="6" count="0"/>
        </references>
      </pivotArea>
    </format>
    <format dxfId="43">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5D57D-03A4-4FD0-B4E3-10E071A5083D}" name="PivotTable7"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Months">
  <location ref="A34:B40" firstHeaderRow="1" firstDataRow="1" firstDataCol="1"/>
  <pivotFields count="12">
    <pivotField showAll="0"/>
    <pivotField numFmtId="164" showAll="0">
      <items count="15">
        <item x="12"/>
        <item x="0"/>
        <item x="1"/>
        <item x="2"/>
        <item x="3"/>
        <item x="4"/>
        <item x="5"/>
        <item x="6"/>
        <item x="7"/>
        <item x="8"/>
        <item x="9"/>
        <item x="10"/>
        <item x="11"/>
        <item x="13"/>
        <item t="default"/>
      </items>
    </pivotField>
    <pivotField axis="axisRow" numFmtId="17" showAll="0" measureFilter="1" sortType="ascending" defaultSubtotal="0">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7">
        <item sd="0" x="0"/>
        <item sd="0" x="1"/>
        <item sd="0" x="2"/>
        <item sd="0" x="3"/>
        <item sd="0" x="4"/>
        <item x="5"/>
        <item t="default"/>
      </items>
    </pivotField>
    <pivotField showAll="0">
      <items count="5">
        <item sd="0" x="0"/>
        <item sd="0" x="1"/>
        <item sd="0" x="2"/>
        <item x="3"/>
        <item t="default"/>
      </items>
    </pivotField>
  </pivotFields>
  <rowFields count="1">
    <field x="2"/>
  </rowFields>
  <rowItems count="6">
    <i>
      <x v="3"/>
    </i>
    <i>
      <x v="5"/>
    </i>
    <i>
      <x/>
    </i>
    <i>
      <x v="9"/>
    </i>
    <i>
      <x v="8"/>
    </i>
    <i>
      <x v="1"/>
    </i>
  </rowItems>
  <colItems count="1">
    <i/>
  </colItems>
  <dataFields count="1">
    <dataField name="Number of Books" fld="3" subtotal="count" baseField="0" baseItem="0"/>
  </dataFields>
  <formats count="12">
    <format dxfId="22">
      <pivotArea type="all" dataOnly="0" outline="0" fieldPosition="0"/>
    </format>
    <format dxfId="23">
      <pivotArea outline="0" collapsedLevelsAreSubtotals="1" fieldPosition="0"/>
    </format>
    <format dxfId="24">
      <pivotArea dataOnly="0" labelOnly="1" outline="0" axis="axisValues" fieldPosition="0"/>
    </format>
    <format dxfId="25">
      <pivotArea field="2" type="button" dataOnly="0" labelOnly="1" outline="0" axis="axisRow" fieldPosition="0"/>
    </format>
    <format dxfId="26">
      <pivotArea dataOnly="0" labelOnly="1" fieldPosition="0">
        <references count="1">
          <reference field="2" count="0"/>
        </references>
      </pivotArea>
    </format>
    <format dxfId="27">
      <pivotArea field="2" type="button" dataOnly="0" labelOnly="1" outline="0" axis="axisRow"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field="2" type="button" dataOnly="0" labelOnly="1" outline="0" axis="axisRow" fieldPosition="0"/>
    </format>
    <format dxfId="32">
      <pivotArea dataOnly="0" labelOnly="1" fieldPosition="0">
        <references count="1">
          <reference field="2" count="0"/>
        </references>
      </pivotArea>
    </format>
    <format dxfId="3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valueGreaterThanOrEqual" evalOrder="-1" id="1" iMeasureFld="0">
      <autoFilter ref="A1">
        <filterColumn colId="0">
          <customFilters>
            <customFilter operator="greaterThanOrEqual"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CADB7E-CFA8-4A30-A403-285D27240CBB}"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2">
    <pivotField showAll="0"/>
    <pivotField numFmtId="164" showAll="0">
      <items count="15">
        <item x="0"/>
        <item x="1"/>
        <item x="2"/>
        <item x="3"/>
        <item x="4"/>
        <item x="5"/>
        <item x="6"/>
        <item x="7"/>
        <item x="8"/>
        <item x="9"/>
        <item x="10"/>
        <item x="11"/>
        <item x="12"/>
        <item x="13"/>
        <item t="default"/>
      </items>
    </pivotField>
    <pivotField numFmtId="1"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Books" fld="3" subtotal="count" baseField="0" baseItem="1915682816"/>
  </dataFields>
  <formats count="4">
    <format dxfId="18">
      <pivotArea type="all" dataOnly="0" outline="0" fieldPosition="0"/>
    </format>
    <format dxfId="19">
      <pivotArea outline="0" collapsedLevelsAreSubtotals="1" fieldPosition="0"/>
    </format>
    <format dxfId="20">
      <pivotArea dataOnly="0" labelOnly="1" outline="0" axis="axisValues"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8FB728-A590-4F01-9488-5D505F852A00}"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B9" firstHeaderRow="1" firstDataRow="1" firstDataCol="0"/>
  <pivotFields count="12">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Pages" fld="5" baseField="0" baseItem="1915682816" numFmtId="165"/>
  </dataFields>
  <formats count="7">
    <format dxfId="11">
      <pivotArea type="all" dataOnly="0" outline="0" fieldPosition="0"/>
    </format>
    <format dxfId="12">
      <pivotArea outline="0" collapsedLevelsAreSubtotals="1" fieldPosition="0"/>
    </format>
    <format dxfId="13">
      <pivotArea dataOnly="0" labelOnly="1" outline="0" axis="axisValues"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ECBE8-0C8B-474A-9952-E97154DC3551}" name="Table3" displayName="Table3" ref="A2:J29" totalsRowShown="0" headerRowDxfId="77">
  <autoFilter ref="A2:J29" xr:uid="{1D2ECBE8-0C8B-474A-9952-E97154DC3551}"/>
  <tableColumns count="10">
    <tableColumn id="1" xr3:uid="{E08B34CD-D773-499E-A5A2-E76E4E57891E}" name="S/N"/>
    <tableColumn id="2" xr3:uid="{3FA03539-AC81-4FD0-8E01-86A7B1AE675B}" name="Month" dataDxfId="76"/>
    <tableColumn id="9" xr3:uid="{4A95EC4C-6BA2-43EE-8F66-E2C438CBEB68}" name="Year" dataDxfId="75"/>
    <tableColumn id="3" xr3:uid="{DF28E13E-C0C2-4608-B264-77CA68AC5342}" name="Name Of The Book"/>
    <tableColumn id="4" xr3:uid="{1EB8817B-C611-4C5D-AD4E-5C5953DD9883}" name="Author"/>
    <tableColumn id="5" xr3:uid="{F466121C-81E0-4354-92F5-334592735ACE}" name="Number of Pages"/>
    <tableColumn id="6" xr3:uid="{0B90C25A-81DA-42C7-B2D4-905E57F98506}" name="Book Type"/>
    <tableColumn id="7" xr3:uid="{A8DA6E10-04BD-44BE-8C07-F23C50412613}" name="Owned/Borrowed"/>
    <tableColumn id="8" xr3:uid="{469CBE9B-66CD-457F-B377-76653C0EAA67}" name="Personal Ratings"/>
    <tableColumn id="10" xr3:uid="{DEBA1DC3-D6FF-4D22-A1C8-A75949372AF7}" name="Nationality"/>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CFCFC">
            <a:alpha val="49804"/>
          </a:srgbClr>
        </a:solidFill>
        <a:ln>
          <a:noFill/>
        </a:ln>
        <a:effectLst>
          <a:outerShdw blurRad="50800" dist="38100" dir="5400000" algn="t" rotWithShape="0">
            <a:prstClr val="black">
              <a:alpha val="40000"/>
            </a:prstClr>
          </a:outerShdw>
        </a:effectLst>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6400-5DDA-475A-994C-67A245189278}">
  <sheetPr>
    <tabColor rgb="FF1F4E5F"/>
  </sheetPr>
  <dimension ref="B2:C25"/>
  <sheetViews>
    <sheetView showGridLines="0" topLeftCell="A13" workbookViewId="0">
      <selection activeCell="C21" sqref="C21"/>
    </sheetView>
  </sheetViews>
  <sheetFormatPr defaultRowHeight="17.25" x14ac:dyDescent="0.3"/>
  <cols>
    <col min="1" max="1" width="4" style="53" customWidth="1"/>
    <col min="2" max="2" width="108" style="53" customWidth="1"/>
    <col min="3" max="3" width="75" style="53" customWidth="1"/>
    <col min="4" max="16384" width="9.140625" style="53"/>
  </cols>
  <sheetData>
    <row r="2" spans="2:2" x14ac:dyDescent="0.3">
      <c r="B2" s="52" t="s">
        <v>97</v>
      </c>
    </row>
    <row r="3" spans="2:2" x14ac:dyDescent="0.3">
      <c r="B3" s="53" t="s">
        <v>96</v>
      </c>
    </row>
    <row r="5" spans="2:2" x14ac:dyDescent="0.3">
      <c r="B5" s="52" t="s">
        <v>95</v>
      </c>
    </row>
    <row r="6" spans="2:2" ht="51.75" x14ac:dyDescent="0.3">
      <c r="B6" s="54" t="s">
        <v>108</v>
      </c>
    </row>
    <row r="8" spans="2:2" x14ac:dyDescent="0.3">
      <c r="B8" s="52" t="s">
        <v>94</v>
      </c>
    </row>
    <row r="9" spans="2:2" ht="51.75" x14ac:dyDescent="0.3">
      <c r="B9" s="54" t="s">
        <v>109</v>
      </c>
    </row>
    <row r="11" spans="2:2" x14ac:dyDescent="0.3">
      <c r="B11" s="52" t="s">
        <v>93</v>
      </c>
    </row>
    <row r="12" spans="2:2" x14ac:dyDescent="0.3">
      <c r="B12" s="53" t="s">
        <v>92</v>
      </c>
    </row>
    <row r="13" spans="2:2" x14ac:dyDescent="0.3">
      <c r="B13" s="53" t="s">
        <v>91</v>
      </c>
    </row>
    <row r="14" spans="2:2" x14ac:dyDescent="0.3">
      <c r="B14" s="53" t="s">
        <v>110</v>
      </c>
    </row>
    <row r="16" spans="2:2" x14ac:dyDescent="0.3">
      <c r="B16" s="52" t="s">
        <v>90</v>
      </c>
    </row>
    <row r="17" spans="2:3" x14ac:dyDescent="0.3">
      <c r="B17" s="53" t="s">
        <v>89</v>
      </c>
    </row>
    <row r="20" spans="2:3" x14ac:dyDescent="0.3">
      <c r="B20" s="52" t="s">
        <v>88</v>
      </c>
    </row>
    <row r="21" spans="2:3" x14ac:dyDescent="0.3">
      <c r="B21" s="52" t="s">
        <v>87</v>
      </c>
      <c r="C21" s="53" t="s">
        <v>111</v>
      </c>
    </row>
    <row r="22" spans="2:3" x14ac:dyDescent="0.3">
      <c r="B22" s="52" t="s">
        <v>86</v>
      </c>
      <c r="C22" s="53" t="s">
        <v>104</v>
      </c>
    </row>
    <row r="23" spans="2:3" x14ac:dyDescent="0.3">
      <c r="B23" s="52" t="s">
        <v>101</v>
      </c>
      <c r="C23" s="53" t="s">
        <v>105</v>
      </c>
    </row>
    <row r="24" spans="2:3" x14ac:dyDescent="0.3">
      <c r="B24" s="52" t="s">
        <v>102</v>
      </c>
      <c r="C24" s="53" t="s">
        <v>106</v>
      </c>
    </row>
    <row r="25" spans="2:3" x14ac:dyDescent="0.3">
      <c r="B25" s="52" t="s">
        <v>103</v>
      </c>
      <c r="C25" s="53"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2941A-1227-443A-A2B3-6B31250C753B}">
  <sheetPr>
    <tabColor rgb="FF4472C4"/>
  </sheetPr>
  <dimension ref="B2:B18"/>
  <sheetViews>
    <sheetView showGridLines="0" workbookViewId="0">
      <selection activeCell="F8" sqref="F8"/>
    </sheetView>
  </sheetViews>
  <sheetFormatPr defaultRowHeight="17.25" x14ac:dyDescent="0.3"/>
  <cols>
    <col min="1" max="1" width="4" style="53" customWidth="1"/>
    <col min="2" max="2" width="108" style="53" customWidth="1"/>
    <col min="3" max="16384" width="9.140625" style="53"/>
  </cols>
  <sheetData>
    <row r="2" spans="2:2" ht="21" x14ac:dyDescent="0.35">
      <c r="B2" s="51" t="s">
        <v>100</v>
      </c>
    </row>
    <row r="3" spans="2:2" x14ac:dyDescent="0.3">
      <c r="B3" s="53" t="s">
        <v>112</v>
      </c>
    </row>
    <row r="5" spans="2:2" x14ac:dyDescent="0.3">
      <c r="B5" s="52" t="s">
        <v>99</v>
      </c>
    </row>
    <row r="6" spans="2:2" ht="86.25" x14ac:dyDescent="0.3">
      <c r="B6" s="55" t="s">
        <v>113</v>
      </c>
    </row>
    <row r="8" spans="2:2" x14ac:dyDescent="0.3">
      <c r="B8" s="52" t="s">
        <v>114</v>
      </c>
    </row>
    <row r="9" spans="2:2" x14ac:dyDescent="0.3">
      <c r="B9" s="55" t="s">
        <v>116</v>
      </c>
    </row>
    <row r="11" spans="2:2" x14ac:dyDescent="0.3">
      <c r="B11" s="52" t="s">
        <v>117</v>
      </c>
    </row>
    <row r="12" spans="2:2" ht="51.75" x14ac:dyDescent="0.3">
      <c r="B12" s="55" t="s">
        <v>115</v>
      </c>
    </row>
    <row r="14" spans="2:2" ht="34.5" x14ac:dyDescent="0.3">
      <c r="B14" s="56" t="s">
        <v>119</v>
      </c>
    </row>
    <row r="15" spans="2:2" ht="51.75" x14ac:dyDescent="0.3">
      <c r="B15" s="55" t="s">
        <v>118</v>
      </c>
    </row>
    <row r="17" spans="2:2" x14ac:dyDescent="0.3">
      <c r="B17" s="52" t="s">
        <v>120</v>
      </c>
    </row>
    <row r="18" spans="2:2" ht="51.75" x14ac:dyDescent="0.3">
      <c r="B18" s="55"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X29"/>
  <sheetViews>
    <sheetView topLeftCell="A7" zoomScale="80" zoomScaleNormal="80" workbookViewId="0">
      <selection activeCell="D12" sqref="D12"/>
    </sheetView>
  </sheetViews>
  <sheetFormatPr defaultRowHeight="15" x14ac:dyDescent="0.25"/>
  <cols>
    <col min="1" max="1" width="6.28515625" customWidth="1"/>
    <col min="2" max="2" width="14.42578125" style="2" customWidth="1"/>
    <col min="3" max="3" width="14.42578125" style="20" customWidth="1"/>
    <col min="4" max="4" width="66.42578125" bestFit="1" customWidth="1"/>
    <col min="5" max="5" width="33.85546875" bestFit="1" customWidth="1"/>
    <col min="6" max="6" width="18.28515625" customWidth="1"/>
    <col min="7" max="7" width="12.140625" customWidth="1"/>
    <col min="8" max="8" width="18.85546875" customWidth="1"/>
    <col min="9" max="9" width="18.42578125" customWidth="1"/>
    <col min="10" max="10" width="18.28515625" customWidth="1"/>
  </cols>
  <sheetData>
    <row r="1" spans="1:24" ht="31.5" x14ac:dyDescent="0.65">
      <c r="A1" s="32" t="s">
        <v>0</v>
      </c>
      <c r="B1" s="32"/>
      <c r="C1" s="32"/>
      <c r="D1" s="32"/>
      <c r="E1" s="32"/>
      <c r="F1" s="32"/>
      <c r="G1" s="32"/>
      <c r="H1" s="32"/>
      <c r="I1" s="32"/>
      <c r="J1" s="6"/>
      <c r="K1" s="1"/>
      <c r="L1" s="1"/>
      <c r="M1" s="1"/>
      <c r="N1" s="1"/>
      <c r="O1" s="1"/>
      <c r="P1" s="1"/>
      <c r="Q1" s="1"/>
      <c r="R1" s="1"/>
      <c r="S1" s="1"/>
      <c r="T1" s="1"/>
      <c r="U1" s="1"/>
      <c r="V1" s="1"/>
      <c r="W1" s="1"/>
      <c r="X1" s="1"/>
    </row>
    <row r="2" spans="1:24" s="31" customFormat="1" x14ac:dyDescent="0.25">
      <c r="A2" s="4" t="s">
        <v>12</v>
      </c>
      <c r="B2" s="5" t="s">
        <v>49</v>
      </c>
      <c r="C2" s="19" t="s">
        <v>50</v>
      </c>
      <c r="D2" s="4" t="s">
        <v>1</v>
      </c>
      <c r="E2" s="4" t="s">
        <v>45</v>
      </c>
      <c r="F2" s="4" t="s">
        <v>34</v>
      </c>
      <c r="G2" s="4" t="s">
        <v>39</v>
      </c>
      <c r="H2" s="4" t="s">
        <v>43</v>
      </c>
      <c r="I2" s="4" t="s">
        <v>35</v>
      </c>
      <c r="J2" s="4" t="s">
        <v>61</v>
      </c>
    </row>
    <row r="3" spans="1:24" x14ac:dyDescent="0.25">
      <c r="A3">
        <v>1</v>
      </c>
      <c r="B3" s="2">
        <v>45627</v>
      </c>
      <c r="C3" s="21">
        <v>45642</v>
      </c>
      <c r="D3" t="s">
        <v>14</v>
      </c>
      <c r="E3" t="s">
        <v>2</v>
      </c>
      <c r="F3">
        <v>304</v>
      </c>
      <c r="G3" t="s">
        <v>40</v>
      </c>
      <c r="H3" t="s">
        <v>44</v>
      </c>
      <c r="I3">
        <v>5</v>
      </c>
      <c r="J3" t="s">
        <v>64</v>
      </c>
    </row>
    <row r="4" spans="1:24" x14ac:dyDescent="0.25">
      <c r="A4">
        <v>2</v>
      </c>
      <c r="B4" s="2">
        <v>45627</v>
      </c>
      <c r="C4" s="21">
        <v>45642</v>
      </c>
      <c r="D4" t="s">
        <v>15</v>
      </c>
      <c r="E4" t="s">
        <v>13</v>
      </c>
      <c r="F4">
        <v>401</v>
      </c>
      <c r="G4" t="s">
        <v>40</v>
      </c>
      <c r="H4" t="s">
        <v>52</v>
      </c>
      <c r="I4">
        <v>5</v>
      </c>
      <c r="J4" t="s">
        <v>65</v>
      </c>
    </row>
    <row r="5" spans="1:24" x14ac:dyDescent="0.25">
      <c r="A5">
        <v>3</v>
      </c>
      <c r="B5" s="2">
        <v>45627</v>
      </c>
      <c r="C5" s="21">
        <v>45642</v>
      </c>
      <c r="D5" t="s">
        <v>16</v>
      </c>
      <c r="E5" t="s">
        <v>38</v>
      </c>
      <c r="F5">
        <v>179</v>
      </c>
      <c r="G5" t="s">
        <v>41</v>
      </c>
      <c r="H5" t="s">
        <v>52</v>
      </c>
      <c r="I5">
        <v>3</v>
      </c>
      <c r="J5" t="s">
        <v>66</v>
      </c>
    </row>
    <row r="6" spans="1:24" x14ac:dyDescent="0.25">
      <c r="A6">
        <v>4</v>
      </c>
      <c r="B6" s="2">
        <v>45658</v>
      </c>
      <c r="C6" s="21">
        <v>45673</v>
      </c>
      <c r="D6" t="s">
        <v>17</v>
      </c>
      <c r="E6" t="s">
        <v>3</v>
      </c>
      <c r="F6">
        <v>160</v>
      </c>
      <c r="G6" t="s">
        <v>40</v>
      </c>
      <c r="H6" t="s">
        <v>44</v>
      </c>
      <c r="I6">
        <v>2</v>
      </c>
      <c r="J6" t="s">
        <v>62</v>
      </c>
    </row>
    <row r="7" spans="1:24" x14ac:dyDescent="0.25">
      <c r="A7">
        <v>5</v>
      </c>
      <c r="B7" s="2">
        <v>45658</v>
      </c>
      <c r="C7" s="21">
        <v>45673</v>
      </c>
      <c r="D7" t="s">
        <v>46</v>
      </c>
      <c r="E7" t="s">
        <v>4</v>
      </c>
      <c r="F7">
        <v>164</v>
      </c>
      <c r="G7" t="s">
        <v>40</v>
      </c>
      <c r="H7" t="s">
        <v>44</v>
      </c>
      <c r="I7">
        <v>5</v>
      </c>
      <c r="J7" t="s">
        <v>63</v>
      </c>
    </row>
    <row r="8" spans="1:24" x14ac:dyDescent="0.25">
      <c r="A8">
        <v>6</v>
      </c>
      <c r="B8" s="2">
        <v>45658</v>
      </c>
      <c r="C8" s="21">
        <v>45673</v>
      </c>
      <c r="D8" t="s">
        <v>25</v>
      </c>
      <c r="E8" t="s">
        <v>5</v>
      </c>
      <c r="F8">
        <v>240</v>
      </c>
      <c r="G8" t="s">
        <v>40</v>
      </c>
      <c r="H8" t="s">
        <v>44</v>
      </c>
      <c r="I8">
        <v>2</v>
      </c>
      <c r="J8" t="s">
        <v>65</v>
      </c>
    </row>
    <row r="9" spans="1:24" x14ac:dyDescent="0.25">
      <c r="A9">
        <v>7</v>
      </c>
      <c r="B9" s="2">
        <v>45658</v>
      </c>
      <c r="C9" s="21">
        <v>45673</v>
      </c>
      <c r="D9" t="s">
        <v>26</v>
      </c>
      <c r="E9" t="s">
        <v>4</v>
      </c>
      <c r="F9">
        <v>192</v>
      </c>
      <c r="G9" t="s">
        <v>40</v>
      </c>
      <c r="H9" t="s">
        <v>44</v>
      </c>
      <c r="I9">
        <v>4</v>
      </c>
      <c r="J9" t="s">
        <v>63</v>
      </c>
    </row>
    <row r="10" spans="1:24" x14ac:dyDescent="0.25">
      <c r="A10">
        <v>8</v>
      </c>
      <c r="B10" s="2">
        <v>45689</v>
      </c>
      <c r="C10" s="21">
        <v>45704</v>
      </c>
      <c r="D10" t="s">
        <v>18</v>
      </c>
      <c r="E10" t="s">
        <v>7</v>
      </c>
      <c r="F10">
        <v>160</v>
      </c>
      <c r="G10" t="s">
        <v>40</v>
      </c>
      <c r="H10" t="s">
        <v>44</v>
      </c>
      <c r="I10">
        <v>5</v>
      </c>
      <c r="J10" t="s">
        <v>62</v>
      </c>
    </row>
    <row r="11" spans="1:24" x14ac:dyDescent="0.25">
      <c r="A11">
        <v>9</v>
      </c>
      <c r="B11" s="2">
        <v>45689</v>
      </c>
      <c r="C11" s="21">
        <v>45704</v>
      </c>
      <c r="D11" t="s">
        <v>27</v>
      </c>
      <c r="E11" t="s">
        <v>6</v>
      </c>
      <c r="F11">
        <v>188</v>
      </c>
      <c r="G11" t="s">
        <v>40</v>
      </c>
      <c r="H11" t="s">
        <v>44</v>
      </c>
      <c r="I11">
        <v>4</v>
      </c>
      <c r="J11" t="s">
        <v>67</v>
      </c>
    </row>
    <row r="12" spans="1:24" x14ac:dyDescent="0.25">
      <c r="A12">
        <v>10</v>
      </c>
      <c r="B12" s="2">
        <v>45717</v>
      </c>
      <c r="C12" s="21">
        <v>45732</v>
      </c>
      <c r="D12" t="s">
        <v>42</v>
      </c>
      <c r="E12" t="s">
        <v>7</v>
      </c>
      <c r="F12">
        <v>88</v>
      </c>
      <c r="G12" t="s">
        <v>40</v>
      </c>
      <c r="H12" t="s">
        <v>52</v>
      </c>
      <c r="I12">
        <v>4</v>
      </c>
      <c r="J12" t="s">
        <v>62</v>
      </c>
    </row>
    <row r="13" spans="1:24" x14ac:dyDescent="0.25">
      <c r="A13">
        <v>11</v>
      </c>
      <c r="B13" s="2">
        <v>45717</v>
      </c>
      <c r="C13" s="21">
        <v>45732</v>
      </c>
      <c r="D13" t="s">
        <v>19</v>
      </c>
      <c r="E13" t="s">
        <v>7</v>
      </c>
      <c r="F13">
        <v>155</v>
      </c>
      <c r="G13" t="s">
        <v>40</v>
      </c>
      <c r="H13" t="s">
        <v>52</v>
      </c>
      <c r="I13">
        <v>5</v>
      </c>
      <c r="J13" t="s">
        <v>62</v>
      </c>
    </row>
    <row r="14" spans="1:24" x14ac:dyDescent="0.25">
      <c r="A14">
        <v>12</v>
      </c>
      <c r="B14" s="2">
        <v>45717</v>
      </c>
      <c r="C14" s="21">
        <v>45732</v>
      </c>
      <c r="D14" t="s">
        <v>8</v>
      </c>
      <c r="E14" t="s">
        <v>32</v>
      </c>
      <c r="F14">
        <v>160</v>
      </c>
      <c r="G14" t="s">
        <v>40</v>
      </c>
      <c r="H14" t="s">
        <v>52</v>
      </c>
      <c r="I14">
        <v>4</v>
      </c>
      <c r="J14" t="s">
        <v>62</v>
      </c>
    </row>
    <row r="15" spans="1:24" x14ac:dyDescent="0.25">
      <c r="A15">
        <v>13</v>
      </c>
      <c r="B15" s="2">
        <v>45748</v>
      </c>
      <c r="C15" s="21">
        <v>45763</v>
      </c>
      <c r="D15" t="s">
        <v>20</v>
      </c>
      <c r="E15" t="s">
        <v>9</v>
      </c>
      <c r="F15">
        <v>130</v>
      </c>
      <c r="G15" t="s">
        <v>40</v>
      </c>
      <c r="H15" t="s">
        <v>52</v>
      </c>
      <c r="I15">
        <v>4</v>
      </c>
      <c r="J15" t="s">
        <v>68</v>
      </c>
    </row>
    <row r="16" spans="1:24" x14ac:dyDescent="0.25">
      <c r="A16">
        <v>14</v>
      </c>
      <c r="B16" s="2">
        <v>45748</v>
      </c>
      <c r="C16" s="21">
        <v>45763</v>
      </c>
      <c r="D16" t="s">
        <v>28</v>
      </c>
      <c r="E16" t="s">
        <v>48</v>
      </c>
      <c r="F16">
        <v>142</v>
      </c>
      <c r="G16" t="s">
        <v>40</v>
      </c>
      <c r="H16" t="s">
        <v>44</v>
      </c>
      <c r="I16">
        <v>4</v>
      </c>
      <c r="J16" t="s">
        <v>67</v>
      </c>
    </row>
    <row r="17" spans="1:10" x14ac:dyDescent="0.25">
      <c r="A17">
        <v>15</v>
      </c>
      <c r="B17" s="2">
        <v>45809</v>
      </c>
      <c r="C17" s="21">
        <v>45824</v>
      </c>
      <c r="D17" t="s">
        <v>21</v>
      </c>
      <c r="E17" t="s">
        <v>47</v>
      </c>
      <c r="F17">
        <v>231</v>
      </c>
      <c r="G17" t="s">
        <v>40</v>
      </c>
      <c r="H17" t="s">
        <v>44</v>
      </c>
      <c r="I17">
        <v>4</v>
      </c>
      <c r="J17" t="s">
        <v>65</v>
      </c>
    </row>
    <row r="18" spans="1:10" x14ac:dyDescent="0.25">
      <c r="A18">
        <v>16</v>
      </c>
      <c r="B18" s="2">
        <v>45809</v>
      </c>
      <c r="C18" s="21">
        <v>45824</v>
      </c>
      <c r="D18" t="s">
        <v>30</v>
      </c>
      <c r="E18" t="s">
        <v>31</v>
      </c>
      <c r="F18">
        <v>54</v>
      </c>
      <c r="G18" t="s">
        <v>40</v>
      </c>
      <c r="H18" t="s">
        <v>52</v>
      </c>
      <c r="I18">
        <v>3</v>
      </c>
      <c r="J18" t="s">
        <v>62</v>
      </c>
    </row>
    <row r="19" spans="1:10" x14ac:dyDescent="0.25">
      <c r="A19">
        <v>17</v>
      </c>
      <c r="B19" s="2">
        <v>45809</v>
      </c>
      <c r="C19" s="21">
        <v>45824</v>
      </c>
      <c r="D19" t="s">
        <v>29</v>
      </c>
      <c r="E19" t="s">
        <v>10</v>
      </c>
      <c r="F19">
        <v>150</v>
      </c>
      <c r="G19" t="s">
        <v>40</v>
      </c>
      <c r="H19" t="s">
        <v>52</v>
      </c>
      <c r="I19">
        <v>4</v>
      </c>
      <c r="J19" t="s">
        <v>62</v>
      </c>
    </row>
    <row r="20" spans="1:10" x14ac:dyDescent="0.25">
      <c r="A20">
        <v>18</v>
      </c>
      <c r="B20" s="2">
        <v>45839</v>
      </c>
      <c r="C20" s="21">
        <v>45854</v>
      </c>
      <c r="D20" t="s">
        <v>22</v>
      </c>
      <c r="E20" t="s">
        <v>33</v>
      </c>
      <c r="F20">
        <v>60</v>
      </c>
      <c r="G20" t="s">
        <v>41</v>
      </c>
      <c r="H20" t="s">
        <v>52</v>
      </c>
      <c r="I20">
        <v>5</v>
      </c>
      <c r="J20" t="s">
        <v>65</v>
      </c>
    </row>
    <row r="21" spans="1:10" x14ac:dyDescent="0.25">
      <c r="A21">
        <v>19</v>
      </c>
      <c r="B21" s="2">
        <v>45870</v>
      </c>
      <c r="C21" s="21">
        <v>45885</v>
      </c>
      <c r="D21" t="s">
        <v>23</v>
      </c>
      <c r="E21" t="s">
        <v>7</v>
      </c>
      <c r="F21">
        <v>318</v>
      </c>
      <c r="G21" t="s">
        <v>40</v>
      </c>
      <c r="H21" t="s">
        <v>52</v>
      </c>
      <c r="I21">
        <v>4</v>
      </c>
      <c r="J21" t="s">
        <v>62</v>
      </c>
    </row>
    <row r="22" spans="1:10" x14ac:dyDescent="0.25">
      <c r="A22">
        <v>20</v>
      </c>
      <c r="B22" s="2">
        <v>45901</v>
      </c>
      <c r="C22" s="21">
        <v>45916</v>
      </c>
      <c r="D22" t="s">
        <v>24</v>
      </c>
      <c r="E22" t="s">
        <v>11</v>
      </c>
      <c r="F22">
        <v>27</v>
      </c>
      <c r="G22" t="s">
        <v>40</v>
      </c>
      <c r="H22" t="s">
        <v>52</v>
      </c>
      <c r="I22">
        <v>4</v>
      </c>
      <c r="J22" t="s">
        <v>62</v>
      </c>
    </row>
    <row r="23" spans="1:10" x14ac:dyDescent="0.25">
      <c r="A23">
        <v>21</v>
      </c>
      <c r="B23" s="2">
        <v>45901</v>
      </c>
      <c r="C23" s="21">
        <v>45916</v>
      </c>
      <c r="D23" t="s">
        <v>36</v>
      </c>
      <c r="E23" t="s">
        <v>37</v>
      </c>
      <c r="F23">
        <v>129</v>
      </c>
      <c r="G23" t="s">
        <v>40</v>
      </c>
      <c r="H23" t="s">
        <v>52</v>
      </c>
      <c r="I23">
        <v>3</v>
      </c>
      <c r="J23" t="s">
        <v>65</v>
      </c>
    </row>
    <row r="24" spans="1:10" x14ac:dyDescent="0.25">
      <c r="A24">
        <v>22</v>
      </c>
      <c r="B24" s="2">
        <v>45902</v>
      </c>
      <c r="C24" s="21">
        <v>45916</v>
      </c>
      <c r="D24" t="s">
        <v>51</v>
      </c>
      <c r="E24" t="s">
        <v>4</v>
      </c>
      <c r="F24">
        <v>176</v>
      </c>
      <c r="G24" t="s">
        <v>40</v>
      </c>
      <c r="H24" t="s">
        <v>44</v>
      </c>
      <c r="I24">
        <v>4</v>
      </c>
      <c r="J24" t="s">
        <v>63</v>
      </c>
    </row>
    <row r="25" spans="1:10" x14ac:dyDescent="0.25">
      <c r="A25">
        <v>23</v>
      </c>
      <c r="B25" s="2">
        <v>45933</v>
      </c>
      <c r="C25" s="21">
        <v>45946</v>
      </c>
      <c r="D25" t="s">
        <v>53</v>
      </c>
      <c r="E25" t="s">
        <v>54</v>
      </c>
      <c r="F25">
        <v>144</v>
      </c>
      <c r="G25" t="s">
        <v>40</v>
      </c>
      <c r="H25" t="s">
        <v>44</v>
      </c>
      <c r="I25">
        <v>5</v>
      </c>
      <c r="J25" t="s">
        <v>67</v>
      </c>
    </row>
    <row r="26" spans="1:10" x14ac:dyDescent="0.25">
      <c r="A26">
        <v>24</v>
      </c>
      <c r="B26" s="2">
        <v>45934</v>
      </c>
      <c r="C26" s="21">
        <v>45946</v>
      </c>
      <c r="D26" t="s">
        <v>55</v>
      </c>
      <c r="E26" t="s">
        <v>56</v>
      </c>
      <c r="F26">
        <v>31</v>
      </c>
      <c r="G26" t="s">
        <v>41</v>
      </c>
      <c r="H26" t="s">
        <v>52</v>
      </c>
      <c r="I26">
        <v>4</v>
      </c>
      <c r="J26" t="s">
        <v>67</v>
      </c>
    </row>
    <row r="27" spans="1:10" x14ac:dyDescent="0.25">
      <c r="A27">
        <v>25</v>
      </c>
      <c r="B27" s="2">
        <v>45935</v>
      </c>
      <c r="C27" s="21">
        <v>45946</v>
      </c>
      <c r="D27" t="s">
        <v>57</v>
      </c>
      <c r="E27" t="s">
        <v>7</v>
      </c>
      <c r="F27">
        <v>36</v>
      </c>
      <c r="G27" t="s">
        <v>40</v>
      </c>
      <c r="H27" t="s">
        <v>52</v>
      </c>
      <c r="I27">
        <v>4</v>
      </c>
      <c r="J27" t="s">
        <v>62</v>
      </c>
    </row>
    <row r="28" spans="1:10" x14ac:dyDescent="0.25">
      <c r="A28">
        <v>26</v>
      </c>
      <c r="B28" s="2">
        <v>45992</v>
      </c>
      <c r="C28" s="21">
        <v>46007</v>
      </c>
      <c r="D28" t="s">
        <v>58</v>
      </c>
      <c r="E28" t="s">
        <v>7</v>
      </c>
      <c r="F28">
        <v>188</v>
      </c>
      <c r="G28" t="s">
        <v>40</v>
      </c>
      <c r="H28" t="s">
        <v>52</v>
      </c>
      <c r="I28">
        <v>4</v>
      </c>
      <c r="J28" t="s">
        <v>62</v>
      </c>
    </row>
    <row r="29" spans="1:10" x14ac:dyDescent="0.25">
      <c r="A29">
        <v>27</v>
      </c>
      <c r="B29" s="2">
        <v>45993</v>
      </c>
      <c r="C29" s="21">
        <v>46007</v>
      </c>
      <c r="D29" t="s">
        <v>59</v>
      </c>
      <c r="E29" t="s">
        <v>60</v>
      </c>
      <c r="F29">
        <v>185</v>
      </c>
      <c r="G29" t="s">
        <v>40</v>
      </c>
      <c r="H29" t="s">
        <v>52</v>
      </c>
      <c r="I29">
        <v>3</v>
      </c>
      <c r="J29" t="s">
        <v>62</v>
      </c>
    </row>
  </sheetData>
  <mergeCells count="1">
    <mergeCell ref="A1:I1"/>
  </mergeCells>
  <phoneticPr fontId="4" type="noConversion"/>
  <pageMargins left="0.70000000000000007" right="0.70000000000000007" top="0.75" bottom="0.75" header="0.30000000000000004" footer="0.30000000000000004"/>
  <pageSetup paperSize="9" fitToWidth="0" fitToHeight="0"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2BD3-4B0B-403E-93C8-5ABA1CC838A6}">
  <sheetPr>
    <tabColor rgb="FFFFFF00"/>
  </sheetPr>
  <dimension ref="A2:G64"/>
  <sheetViews>
    <sheetView topLeftCell="A25" workbookViewId="0">
      <selection activeCell="D37" sqref="D37"/>
    </sheetView>
  </sheetViews>
  <sheetFormatPr defaultRowHeight="15" x14ac:dyDescent="0.25"/>
  <cols>
    <col min="1" max="1" width="10.140625" bestFit="1" customWidth="1"/>
    <col min="2" max="2" width="18" bestFit="1" customWidth="1"/>
    <col min="3" max="3" width="12.42578125" bestFit="1" customWidth="1"/>
    <col min="4" max="4" width="24.5703125" bestFit="1" customWidth="1"/>
    <col min="6" max="6" width="12.140625" bestFit="1" customWidth="1"/>
    <col min="7" max="7" width="14.7109375" bestFit="1" customWidth="1"/>
    <col min="8" max="8" width="27.42578125" bestFit="1" customWidth="1"/>
    <col min="9" max="9" width="24.5703125" bestFit="1" customWidth="1"/>
    <col min="10" max="15" width="17.7109375" bestFit="1" customWidth="1"/>
    <col min="16" max="16" width="12.7109375" bestFit="1" customWidth="1"/>
    <col min="17" max="19" width="8.140625" bestFit="1" customWidth="1"/>
    <col min="20" max="20" width="11.140625" bestFit="1" customWidth="1"/>
    <col min="21" max="21" width="11.28515625" bestFit="1" customWidth="1"/>
    <col min="22" max="22" width="12.7109375" bestFit="1" customWidth="1"/>
    <col min="23" max="23" width="21" bestFit="1" customWidth="1"/>
    <col min="24" max="24" width="12.7109375" bestFit="1" customWidth="1"/>
  </cols>
  <sheetData>
    <row r="2" spans="1:7" x14ac:dyDescent="0.25">
      <c r="A2" s="7" t="s">
        <v>69</v>
      </c>
    </row>
    <row r="3" spans="1:7" x14ac:dyDescent="0.25">
      <c r="A3" s="28" t="s">
        <v>70</v>
      </c>
    </row>
    <row r="4" spans="1:7" x14ac:dyDescent="0.25">
      <c r="A4" s="8">
        <v>27</v>
      </c>
    </row>
    <row r="5" spans="1:7" x14ac:dyDescent="0.25">
      <c r="A5" s="9"/>
    </row>
    <row r="6" spans="1:7" x14ac:dyDescent="0.25">
      <c r="A6" s="9"/>
    </row>
    <row r="7" spans="1:7" x14ac:dyDescent="0.25">
      <c r="B7" s="7" t="s">
        <v>71</v>
      </c>
      <c r="F7" s="33" t="s">
        <v>75</v>
      </c>
      <c r="G7" s="34"/>
    </row>
    <row r="8" spans="1:7" x14ac:dyDescent="0.25">
      <c r="B8" s="14" t="s">
        <v>72</v>
      </c>
      <c r="F8" s="14" t="s">
        <v>76</v>
      </c>
      <c r="G8" s="14" t="s">
        <v>73</v>
      </c>
    </row>
    <row r="9" spans="1:7" x14ac:dyDescent="0.25">
      <c r="B9" s="22">
        <v>4392</v>
      </c>
      <c r="F9" s="15" t="s">
        <v>44</v>
      </c>
      <c r="G9" s="13">
        <v>11</v>
      </c>
    </row>
    <row r="10" spans="1:7" x14ac:dyDescent="0.25">
      <c r="F10" s="16" t="s">
        <v>52</v>
      </c>
      <c r="G10" s="10">
        <v>16</v>
      </c>
    </row>
    <row r="12" spans="1:7" x14ac:dyDescent="0.25">
      <c r="A12" s="33" t="s">
        <v>74</v>
      </c>
      <c r="B12" s="34"/>
    </row>
    <row r="13" spans="1:7" x14ac:dyDescent="0.25">
      <c r="A13" s="14" t="s">
        <v>39</v>
      </c>
      <c r="B13" s="14" t="s">
        <v>73</v>
      </c>
    </row>
    <row r="14" spans="1:7" x14ac:dyDescent="0.25">
      <c r="A14" s="15" t="s">
        <v>40</v>
      </c>
      <c r="B14" s="13">
        <v>24</v>
      </c>
    </row>
    <row r="15" spans="1:7" x14ac:dyDescent="0.25">
      <c r="A15" s="16" t="s">
        <v>41</v>
      </c>
      <c r="B15" s="10">
        <v>3</v>
      </c>
    </row>
    <row r="18" spans="1:2" x14ac:dyDescent="0.25">
      <c r="A18" s="23" t="s">
        <v>35</v>
      </c>
      <c r="B18" s="24">
        <v>5</v>
      </c>
    </row>
    <row r="19" spans="1:2" x14ac:dyDescent="0.25">
      <c r="A19" s="17"/>
      <c r="B19" s="18"/>
    </row>
    <row r="20" spans="1:2" x14ac:dyDescent="0.25">
      <c r="A20" s="14" t="s">
        <v>70</v>
      </c>
      <c r="B20" s="14" t="s">
        <v>77</v>
      </c>
    </row>
    <row r="21" spans="1:2" x14ac:dyDescent="0.25">
      <c r="A21" s="15" t="s">
        <v>14</v>
      </c>
      <c r="B21" s="13">
        <v>5</v>
      </c>
    </row>
    <row r="22" spans="1:2" x14ac:dyDescent="0.25">
      <c r="A22" s="26" t="s">
        <v>19</v>
      </c>
      <c r="B22" s="25">
        <v>5</v>
      </c>
    </row>
    <row r="23" spans="1:2" x14ac:dyDescent="0.25">
      <c r="A23" s="26" t="s">
        <v>18</v>
      </c>
      <c r="B23" s="25">
        <v>5</v>
      </c>
    </row>
    <row r="24" spans="1:2" x14ac:dyDescent="0.25">
      <c r="A24" s="26" t="s">
        <v>15</v>
      </c>
      <c r="B24" s="25">
        <v>5</v>
      </c>
    </row>
    <row r="25" spans="1:2" x14ac:dyDescent="0.25">
      <c r="A25" s="26" t="s">
        <v>22</v>
      </c>
      <c r="B25" s="25">
        <v>5</v>
      </c>
    </row>
    <row r="26" spans="1:2" x14ac:dyDescent="0.25">
      <c r="A26" s="26" t="s">
        <v>46</v>
      </c>
      <c r="B26" s="25">
        <v>5</v>
      </c>
    </row>
    <row r="27" spans="1:2" x14ac:dyDescent="0.25">
      <c r="A27" s="16" t="s">
        <v>53</v>
      </c>
      <c r="B27" s="10">
        <v>5</v>
      </c>
    </row>
    <row r="29" spans="1:2" x14ac:dyDescent="0.25">
      <c r="A29" s="35" t="s">
        <v>79</v>
      </c>
      <c r="B29" s="36"/>
    </row>
    <row r="30" spans="1:2" x14ac:dyDescent="0.25">
      <c r="A30" s="14" t="s">
        <v>45</v>
      </c>
      <c r="B30" s="14" t="s">
        <v>78</v>
      </c>
    </row>
    <row r="31" spans="1:2" x14ac:dyDescent="0.25">
      <c r="A31" s="27" t="s">
        <v>7</v>
      </c>
      <c r="B31" s="22">
        <v>6</v>
      </c>
    </row>
    <row r="33" spans="1:2" x14ac:dyDescent="0.25">
      <c r="A33" s="33" t="s">
        <v>82</v>
      </c>
      <c r="B33" s="34"/>
    </row>
    <row r="34" spans="1:2" x14ac:dyDescent="0.25">
      <c r="A34" s="44" t="s">
        <v>80</v>
      </c>
      <c r="B34" s="14" t="s">
        <v>81</v>
      </c>
    </row>
    <row r="35" spans="1:2" x14ac:dyDescent="0.25">
      <c r="A35" s="48">
        <v>45732</v>
      </c>
      <c r="B35" s="13">
        <v>3</v>
      </c>
    </row>
    <row r="36" spans="1:2" x14ac:dyDescent="0.25">
      <c r="A36" s="49">
        <v>45824</v>
      </c>
      <c r="B36" s="25">
        <v>3</v>
      </c>
    </row>
    <row r="37" spans="1:2" x14ac:dyDescent="0.25">
      <c r="A37" s="49">
        <v>45642</v>
      </c>
      <c r="B37" s="25">
        <v>3</v>
      </c>
    </row>
    <row r="38" spans="1:2" x14ac:dyDescent="0.25">
      <c r="A38" s="49">
        <v>45946</v>
      </c>
      <c r="B38" s="25">
        <v>3</v>
      </c>
    </row>
    <row r="39" spans="1:2" x14ac:dyDescent="0.25">
      <c r="A39" s="49">
        <v>45916</v>
      </c>
      <c r="B39" s="25">
        <v>3</v>
      </c>
    </row>
    <row r="40" spans="1:2" x14ac:dyDescent="0.25">
      <c r="A40" s="50">
        <v>45673</v>
      </c>
      <c r="B40" s="10">
        <v>4</v>
      </c>
    </row>
    <row r="52" spans="1:3" x14ac:dyDescent="0.25">
      <c r="A52" s="45" t="s">
        <v>85</v>
      </c>
      <c r="B52" s="46"/>
      <c r="C52" s="47"/>
    </row>
    <row r="53" spans="1:3" x14ac:dyDescent="0.25">
      <c r="A53" s="37" t="s">
        <v>80</v>
      </c>
      <c r="B53" s="39" t="s">
        <v>83</v>
      </c>
      <c r="C53" s="40" t="s">
        <v>84</v>
      </c>
    </row>
    <row r="54" spans="1:3" x14ac:dyDescent="0.25">
      <c r="A54" s="29">
        <v>45642</v>
      </c>
      <c r="B54" s="41">
        <v>3</v>
      </c>
      <c r="C54" s="42">
        <v>884</v>
      </c>
    </row>
    <row r="55" spans="1:3" x14ac:dyDescent="0.25">
      <c r="A55" s="29">
        <v>45673</v>
      </c>
      <c r="B55" s="43">
        <v>4</v>
      </c>
      <c r="C55" s="11">
        <v>756</v>
      </c>
    </row>
    <row r="56" spans="1:3" x14ac:dyDescent="0.25">
      <c r="A56" s="29">
        <v>45824</v>
      </c>
      <c r="B56" s="43">
        <v>3</v>
      </c>
      <c r="C56" s="11">
        <v>435</v>
      </c>
    </row>
    <row r="57" spans="1:3" x14ac:dyDescent="0.25">
      <c r="A57" s="29">
        <v>45732</v>
      </c>
      <c r="B57" s="43">
        <v>3</v>
      </c>
      <c r="C57" s="11">
        <v>403</v>
      </c>
    </row>
    <row r="58" spans="1:3" x14ac:dyDescent="0.25">
      <c r="A58" s="29">
        <v>46007</v>
      </c>
      <c r="B58" s="43">
        <v>2</v>
      </c>
      <c r="C58" s="11">
        <v>373</v>
      </c>
    </row>
    <row r="59" spans="1:3" x14ac:dyDescent="0.25">
      <c r="A59" s="29">
        <v>45704</v>
      </c>
      <c r="B59" s="43">
        <v>2</v>
      </c>
      <c r="C59" s="11">
        <v>348</v>
      </c>
    </row>
    <row r="60" spans="1:3" x14ac:dyDescent="0.25">
      <c r="A60" s="29">
        <v>45916</v>
      </c>
      <c r="B60" s="43">
        <v>3</v>
      </c>
      <c r="C60" s="11">
        <v>332</v>
      </c>
    </row>
    <row r="61" spans="1:3" x14ac:dyDescent="0.25">
      <c r="A61" s="29">
        <v>45885</v>
      </c>
      <c r="B61" s="43">
        <v>1</v>
      </c>
      <c r="C61" s="11">
        <v>318</v>
      </c>
    </row>
    <row r="62" spans="1:3" x14ac:dyDescent="0.25">
      <c r="A62" s="29">
        <v>45763</v>
      </c>
      <c r="B62" s="43">
        <v>2</v>
      </c>
      <c r="C62" s="11">
        <v>272</v>
      </c>
    </row>
    <row r="63" spans="1:3" x14ac:dyDescent="0.25">
      <c r="A63" s="29">
        <v>45946</v>
      </c>
      <c r="B63" s="43">
        <v>3</v>
      </c>
      <c r="C63" s="11">
        <v>211</v>
      </c>
    </row>
    <row r="64" spans="1:3" x14ac:dyDescent="0.25">
      <c r="A64" s="30">
        <v>45854</v>
      </c>
      <c r="B64" s="38">
        <v>1</v>
      </c>
      <c r="C64" s="12">
        <v>60</v>
      </c>
    </row>
  </sheetData>
  <mergeCells count="5">
    <mergeCell ref="A12:B12"/>
    <mergeCell ref="F7:G7"/>
    <mergeCell ref="A29:B29"/>
    <mergeCell ref="A33:B33"/>
    <mergeCell ref="A52:C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30A5-12AE-46A6-B6B9-07B7CE8BEA16}">
  <sheetPr>
    <tabColor rgb="FF00B050"/>
  </sheetPr>
  <dimension ref="A1"/>
  <sheetViews>
    <sheetView showGridLines="0" showRowColHeaders="0" tabSelected="1" zoomScale="70" zoomScaleNormal="70" workbookViewId="0">
      <selection activeCell="AD2" sqref="AD2"/>
    </sheetView>
  </sheetViews>
  <sheetFormatPr defaultRowHeight="15" x14ac:dyDescent="0.25"/>
  <cols>
    <col min="1" max="16384" width="9.140625" style="3"/>
  </cols>
  <sheetData/>
  <pageMargins left="1" right="1" top="1" bottom="1" header="0.5" footer="0.5"/>
  <pageSetup paperSize="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README</vt:lpstr>
      <vt:lpstr>Insights</vt:lpstr>
      <vt:lpstr>Data</vt:lpstr>
      <vt:lpstr>Calculations</vt:lpstr>
      <vt:lpstr>Dashboard</vt:lpstr>
      <vt:lpstr>total</vt:lpstr>
      <vt:lpstr>Calculations!total_no_of_books</vt:lpstr>
      <vt:lpstr>total_number</vt:lpstr>
      <vt:lpstr>total_pages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ugbedeojonehemiah@gmail.com</dc:creator>
  <cp:lastModifiedBy>ugbedeojonehemiah@gmail.com</cp:lastModifiedBy>
  <cp:lastPrinted>2025-10-28T15:05:10Z</cp:lastPrinted>
  <dcterms:created xsi:type="dcterms:W3CDTF">2025-09-04T18:36:12Z</dcterms:created>
  <dcterms:modified xsi:type="dcterms:W3CDTF">2026-08-11T20:21:25Z</dcterms:modified>
</cp:coreProperties>
</file>